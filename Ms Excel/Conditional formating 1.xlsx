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xcel Assignments\"/>
    </mc:Choice>
  </mc:AlternateContent>
  <xr:revisionPtr revIDLastSave="0" documentId="13_ncr:1_{B94E6EBA-E691-44F6-AF65-34AD0FD533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Ques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12" i="1" l="1"/>
  <c r="D212" i="1"/>
  <c r="C212" i="1"/>
</calcChain>
</file>

<file path=xl/sharedStrings.xml><?xml version="1.0" encoding="utf-8"?>
<sst xmlns="http://schemas.openxmlformats.org/spreadsheetml/2006/main" count="641" uniqueCount="48">
  <si>
    <t>Date</t>
  </si>
  <si>
    <t>Employee ID</t>
  </si>
  <si>
    <t>Tasks Assigned</t>
  </si>
  <si>
    <t>Tasks Completed</t>
  </si>
  <si>
    <t>Working Hours</t>
  </si>
  <si>
    <t>Errors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</si>
  <si>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</si>
  <si>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</si>
  <si>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</si>
  <si>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</si>
  <si>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</si>
  <si>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</si>
  <si>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</si>
  <si>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</si>
  <si>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</si>
  <si>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</si>
  <si>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</si>
  <si>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</si>
  <si>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</si>
  <si>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</si>
  <si>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</si>
  <si>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</si>
  <si>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</si>
  <si>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</si>
  <si>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</si>
  <si>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</si>
  <si>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</si>
  <si>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</si>
  <si>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</si>
  <si>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</si>
  <si>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</si>
  <si>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</si>
  <si>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</si>
  <si>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</si>
  <si>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</si>
  <si>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</si>
  <si>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</si>
  <si>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</si>
  <si>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</si>
  <si>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</si>
  <si>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r>
      <t xml:space="preserve">1. </t>
    </r>
    <r>
      <rPr>
        <b/>
        <sz val="11"/>
        <color theme="1"/>
        <rFont val="Calibri"/>
        <family val="2"/>
        <scheme val="minor"/>
      </rPr>
      <t>Adjust Column Layout:</t>
    </r>
    <r>
      <rPr>
        <sz val="11"/>
        <color theme="1"/>
        <rFont val="Calibri"/>
        <family val="2"/>
        <scheme val="minor"/>
      </rPr>
      <t xml:space="preserve">
Use Autofit Column Width so that all data is fully visible without truncation.
2. </t>
    </r>
    <r>
      <rPr>
        <b/>
        <sz val="11"/>
        <color theme="1"/>
        <rFont val="Calibri"/>
        <family val="2"/>
        <scheme val="minor"/>
      </rPr>
      <t>Apply Number Formatting:</t>
    </r>
    <r>
      <rPr>
        <sz val="11"/>
        <color theme="1"/>
        <rFont val="Calibri"/>
        <family val="2"/>
        <scheme val="minor"/>
      </rPr>
      <t xml:space="preserve">
Format Tasks Assigned, Tasks Completed, and Working Hours with comma separators and 1 decimal place, if applicable.
3. </t>
    </r>
    <r>
      <rPr>
        <b/>
        <sz val="11"/>
        <color theme="1"/>
        <rFont val="Calibri"/>
        <family val="2"/>
        <scheme val="minor"/>
      </rPr>
      <t>Insert a Productivity Rating Column:</t>
    </r>
    <r>
      <rPr>
        <sz val="11"/>
        <color theme="1"/>
        <rFont val="Calibri"/>
        <family val="2"/>
        <scheme val="minor"/>
      </rPr>
      <t xml:space="preserve">
Create a new column to calculate:
Productivity = (Tasks Completed - Errors) / Working Hours
Round to 2 decimal places.
4. </t>
    </r>
    <r>
      <rPr>
        <b/>
        <sz val="11"/>
        <color theme="1"/>
        <rFont val="Calibri"/>
        <family val="2"/>
        <scheme val="minor"/>
      </rPr>
      <t>Add a Status Column:</t>
    </r>
    <r>
      <rPr>
        <sz val="11"/>
        <color theme="1"/>
        <rFont val="Calibri"/>
        <family val="2"/>
        <scheme val="minor"/>
      </rPr>
      <t xml:space="preserve">
Add a new column called Status using this rule:
If Errors &gt; 2 → "Needs Review"
If Completion Rate ≥ 95% → "Excellent"
Otherwise → "Satisfactory"
(Use nested IF function for logic)
5. </t>
    </r>
    <r>
      <rPr>
        <b/>
        <sz val="11"/>
        <color theme="1"/>
        <rFont val="Calibri"/>
        <family val="2"/>
        <scheme val="minor"/>
      </rPr>
      <t>Use Freeze Panes:</t>
    </r>
    <r>
      <rPr>
        <sz val="11"/>
        <color theme="1"/>
        <rFont val="Calibri"/>
        <family val="2"/>
        <scheme val="minor"/>
      </rPr>
      <t xml:space="preserve">
Keep the header row visible while scrolling.
6. </t>
    </r>
    <r>
      <rPr>
        <b/>
        <sz val="11"/>
        <color theme="1"/>
        <rFont val="Calibri"/>
        <family val="2"/>
        <scheme val="minor"/>
      </rPr>
      <t>Summarize Key Totals:</t>
    </r>
    <r>
      <rPr>
        <sz val="11"/>
        <color theme="1"/>
        <rFont val="Calibri"/>
        <family val="2"/>
        <scheme val="minor"/>
      </rPr>
      <t xml:space="preserve">
At the bottom of the table, add totals for Tasks Assigned, Tasks Completed, and Working Hours.
7. </t>
    </r>
    <r>
      <rPr>
        <b/>
        <sz val="11"/>
        <color theme="1"/>
        <rFont val="Calibri"/>
        <family val="2"/>
        <scheme val="minor"/>
      </rPr>
      <t>Highlight Underperformance:</t>
    </r>
    <r>
      <rPr>
        <sz val="11"/>
        <color theme="1"/>
        <rFont val="Calibri"/>
        <family val="2"/>
        <scheme val="minor"/>
      </rPr>
      <t xml:space="preserve">
Apply conditional formatting to the Productivity column:
Red fill for values below 1.0
Green fill for values above 1.5
8. </t>
    </r>
    <r>
      <rPr>
        <b/>
        <sz val="11"/>
        <color theme="1"/>
        <rFont val="Calibri"/>
        <family val="2"/>
        <scheme val="minor"/>
      </rPr>
      <t>Format Error Column:</t>
    </r>
    <r>
      <rPr>
        <sz val="11"/>
        <color theme="1"/>
        <rFont val="Calibri"/>
        <family val="2"/>
        <scheme val="minor"/>
      </rPr>
      <t xml:space="preserve">
Apply bold red font for any error count above 3.
9. </t>
    </r>
    <r>
      <rPr>
        <b/>
        <sz val="11"/>
        <color theme="1"/>
        <rFont val="Calibri"/>
        <family val="2"/>
        <scheme val="minor"/>
      </rPr>
      <t>Clean Up Formulas:</t>
    </r>
    <r>
      <rPr>
        <sz val="11"/>
        <color theme="1"/>
        <rFont val="Calibri"/>
        <family val="2"/>
        <scheme val="minor"/>
      </rPr>
      <t xml:space="preserve">
Replace calculated columns (Productivity and Status) with static values (copy → paste values only).
10. </t>
    </r>
    <r>
      <rPr>
        <b/>
        <sz val="11"/>
        <color theme="1"/>
        <rFont val="Calibri"/>
        <family val="2"/>
        <scheme val="minor"/>
      </rPr>
      <t>Polish the Table Design:</t>
    </r>
    <r>
      <rPr>
        <sz val="11"/>
        <color theme="1"/>
        <rFont val="Calibri"/>
        <family val="2"/>
        <scheme val="minor"/>
      </rPr>
      <t xml:space="preserve">
Add a header row with bold and shaded background, apply borders to all cells, and use alternating row colors for visual clarity.</t>
    </r>
  </si>
  <si>
    <t>Productivity Rating</t>
  </si>
  <si>
    <t>Status</t>
  </si>
  <si>
    <t>completion rate</t>
  </si>
  <si>
    <t>Satisfactory</t>
  </si>
  <si>
    <t>Excellent</t>
  </si>
  <si>
    <t>Needs Review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</si>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</sst>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10" fontId="0" fillId="0" borderId="0" xfId="0" applyNumberFormat="1"/>
    <xf numFmtId="0" fontId="0" fillId="0" borderId="1" xfId="0" applyBorder="1"/>
    <xf numFmtId="2" fontId="0" fillId="0" borderId="1" xfId="0" applyNumberFormat="1" applyBorder="1"/>
    <xf numFmtId="10" fontId="0" fillId="0" borderId="1" xfId="0" applyNumberFormat="1" applyBorder="1"/>
    <xf numFmtId="0" fontId="1" fillId="0" borderId="1" xfId="0" applyFont="1" applyBorder="1"/>
    <xf numFmtId="0" fontId="0" fillId="2" borderId="0" xfId="0" applyFill="1"/>
    <xf numFmtId="10" fontId="0" fillId="2" borderId="0" xfId="0" applyNumberFormat="1" applyFill="1"/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</cellXfs>
  <cellStyles count="1"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rgb="FFFFFF00"/>
        </patternFill>
      </fill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FFF00"/>
        </patternFill>
      </fill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FFF00"/>
        </patternFill>
      </fill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FFF00"/>
        </patternFill>
      </fill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FFF00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FFF00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FFF00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08C7DB0-7BB2-43F1-B160-909F7AE9AB1C}" name="Table5" displayName="Table5" ref="C1:I212" totalsRowCount="1" headerRowDxfId="21" totalsRowDxfId="20">
  <autoFilter ref="C1:I211" xr:uid="{608C7DB0-7BB2-43F1-B160-909F7AE9AB1C}"/>
  <tableColumns count="7">
    <tableColumn id="1" xr3:uid="{BD867C9F-FEB0-4F75-945B-B4109088B008}" name="Tasks Assigned" totalsRowFunction="sum" dataDxfId="19" totalsRowDxfId="18"/>
    <tableColumn id="2" xr3:uid="{8418ED39-4312-4182-ADA9-0C781F1B85DE}" name="Tasks Completed" totalsRowFunction="sum" dataDxfId="17" totalsRowDxfId="16"/>
    <tableColumn id="3" xr3:uid="{BA15D78E-22FA-4E1D-A2BE-4E40CA5C3557}" name="Working Hours" totalsRowFunction="sum" dataDxfId="15" totalsRowDxfId="14"/>
    <tableColumn id="4" xr3:uid="{D1BF5CAC-6049-4484-9457-DA12B5D7E241}" name="Errors" dataDxfId="13" totalsRowDxfId="12"/>
    <tableColumn id="5" xr3:uid="{6CF48416-3757-4DE1-8D1F-A9812F66E4E3}" name="Productivity Rating" dataDxfId="11" totalsRowDxfId="10"/>
    <tableColumn id="6" xr3:uid="{5EC8EC53-76BA-4C50-9D6D-A61A4D633630}" name="Status" dataDxfId="9" totalsRowDxfId="8"/>
    <tableColumn id="7" xr3:uid="{65C0C652-5770-46EB-893B-231764A08F13}" name="completion rate" dataDxfId="7" totalsRowDxfId="6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8879ADA-E49B-42CD-9808-3992D18763BE}" name="Table6" displayName="Table6" ref="A1:B211" totalsRowShown="0" headerRowDxfId="5" headerRowBorderDxfId="4" tableBorderDxfId="3">
  <autoFilter ref="A1:B211" xr:uid="{28879ADA-E49B-42CD-9808-3992D18763BE}"/>
  <tableColumns count="2">
    <tableColumn id="1" xr3:uid="{4F20A645-FA30-45F0-A4D3-F49E3802EFC3}" name="Date"/>
    <tableColumn id="2" xr3:uid="{A4F89DDF-F842-444E-9C14-30CBEBB24311}" name="Employee ID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2"/>
  <sheetViews>
    <sheetView tabSelected="1" zoomScale="130" zoomScaleNormal="130" workbookViewId="0">
      <pane ySplit="1" topLeftCell="A200" activePane="bottomLeft" state="frozen"/>
      <selection activeCell="C1" sqref="C1"/>
      <selection pane="bottomLeft" activeCell="E221" sqref="E221"/>
    </sheetView>
  </sheetViews>
  <sheetFormatPr defaultRowHeight="14.4" x14ac:dyDescent="0.3"/>
  <cols>
    <col min="1" max="1" width="10.33203125" bestFit="1" customWidth="1"/>
    <col min="2" max="2" width="13.109375" customWidth="1"/>
    <col min="3" max="3" width="15.33203125" customWidth="1"/>
    <col min="4" max="4" width="17.109375" customWidth="1"/>
    <col min="5" max="5" width="15.33203125" customWidth="1"/>
    <col min="6" max="6" width="7.77734375" customWidth="1"/>
    <col min="7" max="7" width="18.88671875" customWidth="1"/>
    <col min="8" max="9" width="17.21875" customWidth="1"/>
    <col min="13" max="13" width="14.109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41</v>
      </c>
      <c r="H1" s="1" t="s">
        <v>42</v>
      </c>
      <c r="I1" s="1" t="s">
        <v>43</v>
      </c>
    </row>
    <row r="2" spans="1:13" x14ac:dyDescent="0.3">
      <c r="A2" s="4" t="s">
        <v>6</v>
      </c>
      <c r="B2" s="4" t="s">
        <v>15</v>
      </c>
      <c r="C2" s="4">
        <v>15</v>
      </c>
      <c r="D2" s="4">
        <v>11</v>
      </c>
      <c r="E2" s="4">
        <v>6.3</v>
      </c>
      <c r="F2" s="4">
        <v>2</v>
      </c>
      <c r="G2" s="5">
        <v>1.4285714285714286</v>
      </c>
      <c r="H2" s="5" t="s">
        <v>44</v>
      </c>
      <c r="I2" s="6">
        <v>0.73333333333333328</v>
      </c>
      <c r="M2" s="3"/>
    </row>
    <row r="3" spans="1:13" x14ac:dyDescent="0.3">
      <c r="A3" s="4" t="s">
        <v>6</v>
      </c>
      <c r="B3" s="4" t="s">
        <v>16</v>
      </c>
      <c r="C3" s="4">
        <v>10</v>
      </c>
      <c r="D3" s="4">
        <v>10</v>
      </c>
      <c r="E3" s="4">
        <v>7.1</v>
      </c>
      <c r="F3" s="4">
        <v>2</v>
      </c>
      <c r="G3" s="5">
        <v>1.1267605633802817</v>
      </c>
      <c r="H3" s="5" t="s">
        <v>45</v>
      </c>
      <c r="I3" s="6">
        <v>1</v>
      </c>
      <c r="L3" s="2"/>
      <c r="M3" s="3"/>
    </row>
    <row r="4" spans="1:13" x14ac:dyDescent="0.3">
      <c r="A4" s="4" t="s">
        <v>6</v>
      </c>
      <c r="B4" s="4" t="s">
        <v>17</v>
      </c>
      <c r="C4" s="4">
        <v>20</v>
      </c>
      <c r="D4" s="4">
        <v>14</v>
      </c>
      <c r="E4" s="4">
        <v>8.1999999999999993</v>
      </c>
      <c r="F4" s="4">
        <v>1</v>
      </c>
      <c r="G4" s="5">
        <v>1.5853658536585367</v>
      </c>
      <c r="H4" s="5" t="s">
        <v>44</v>
      </c>
      <c r="I4" s="6">
        <v>0.7</v>
      </c>
      <c r="M4" s="3"/>
    </row>
    <row r="5" spans="1:13" x14ac:dyDescent="0.3">
      <c r="A5" s="4" t="s">
        <v>6</v>
      </c>
      <c r="B5" s="4" t="s">
        <v>18</v>
      </c>
      <c r="C5" s="4">
        <v>11</v>
      </c>
      <c r="D5" s="4">
        <v>8</v>
      </c>
      <c r="E5" s="4">
        <v>9.3000000000000007</v>
      </c>
      <c r="F5" s="7">
        <v>5</v>
      </c>
      <c r="G5" s="5">
        <v>0.32258064516129031</v>
      </c>
      <c r="H5" s="5" t="s">
        <v>46</v>
      </c>
      <c r="I5" s="6">
        <v>0.72727272727272729</v>
      </c>
      <c r="M5" s="3"/>
    </row>
    <row r="6" spans="1:13" x14ac:dyDescent="0.3">
      <c r="A6" s="4" t="s">
        <v>6</v>
      </c>
      <c r="B6" s="4" t="s">
        <v>19</v>
      </c>
      <c r="C6" s="4">
        <v>15</v>
      </c>
      <c r="D6" s="4">
        <v>9</v>
      </c>
      <c r="E6" s="4">
        <v>8.6999999999999993</v>
      </c>
      <c r="F6" s="4">
        <v>3</v>
      </c>
      <c r="G6" s="5">
        <v>0.68965517241379315</v>
      </c>
      <c r="H6" s="5" t="s">
        <v>46</v>
      </c>
      <c r="I6" s="6">
        <v>0.6</v>
      </c>
      <c r="M6" s="3"/>
    </row>
    <row r="7" spans="1:13" x14ac:dyDescent="0.3">
      <c r="A7" s="4" t="s">
        <v>6</v>
      </c>
      <c r="B7" s="4" t="s">
        <v>20</v>
      </c>
      <c r="C7" s="4">
        <v>17</v>
      </c>
      <c r="D7" s="4">
        <v>8</v>
      </c>
      <c r="E7" s="4">
        <v>6.7</v>
      </c>
      <c r="F7" s="4">
        <v>2</v>
      </c>
      <c r="G7" s="5">
        <v>0.89552238805970152</v>
      </c>
      <c r="H7" s="5" t="s">
        <v>44</v>
      </c>
      <c r="I7" s="6">
        <v>0.47058823529411764</v>
      </c>
      <c r="K7" t="s">
        <v>47</v>
      </c>
      <c r="M7" s="3"/>
    </row>
    <row r="8" spans="1:13" x14ac:dyDescent="0.3">
      <c r="A8" s="4" t="s">
        <v>6</v>
      </c>
      <c r="B8" s="4" t="s">
        <v>21</v>
      </c>
      <c r="C8" s="4">
        <v>15</v>
      </c>
      <c r="D8" s="4">
        <v>10</v>
      </c>
      <c r="E8" s="4">
        <v>6.8</v>
      </c>
      <c r="F8" s="7">
        <v>4</v>
      </c>
      <c r="G8" s="5">
        <v>0.88235294117647056</v>
      </c>
      <c r="H8" s="5" t="s">
        <v>46</v>
      </c>
      <c r="I8" s="6">
        <v>0.66666666666666663</v>
      </c>
      <c r="M8" s="3"/>
    </row>
    <row r="9" spans="1:13" x14ac:dyDescent="0.3">
      <c r="A9" s="4" t="s">
        <v>6</v>
      </c>
      <c r="B9" s="4" t="s">
        <v>22</v>
      </c>
      <c r="C9" s="4">
        <v>10</v>
      </c>
      <c r="D9" s="4">
        <v>10</v>
      </c>
      <c r="E9" s="4">
        <v>8.4</v>
      </c>
      <c r="F9" s="4">
        <v>1</v>
      </c>
      <c r="G9" s="5">
        <v>1.0714285714285714</v>
      </c>
      <c r="H9" s="5" t="s">
        <v>45</v>
      </c>
      <c r="I9" s="6">
        <v>1</v>
      </c>
      <c r="M9" s="3"/>
    </row>
    <row r="10" spans="1:13" x14ac:dyDescent="0.3">
      <c r="A10" s="4" t="s">
        <v>6</v>
      </c>
      <c r="B10" s="4" t="s">
        <v>23</v>
      </c>
      <c r="C10" s="4">
        <v>20</v>
      </c>
      <c r="D10" s="4">
        <v>16</v>
      </c>
      <c r="E10" s="4">
        <v>8.1</v>
      </c>
      <c r="F10" s="4">
        <v>3</v>
      </c>
      <c r="G10" s="5">
        <v>1.6049382716049383</v>
      </c>
      <c r="H10" s="5" t="s">
        <v>46</v>
      </c>
      <c r="I10" s="6">
        <v>0.8</v>
      </c>
      <c r="M10" s="3"/>
    </row>
    <row r="11" spans="1:13" x14ac:dyDescent="0.3">
      <c r="A11" s="4" t="s">
        <v>6</v>
      </c>
      <c r="B11" s="4" t="s">
        <v>24</v>
      </c>
      <c r="C11" s="4">
        <v>12</v>
      </c>
      <c r="D11" s="4">
        <v>12</v>
      </c>
      <c r="E11" s="4">
        <v>6.8</v>
      </c>
      <c r="F11" s="4">
        <v>0</v>
      </c>
      <c r="G11" s="5">
        <v>1.7647058823529411</v>
      </c>
      <c r="H11" s="5" t="s">
        <v>45</v>
      </c>
      <c r="I11" s="6">
        <v>1</v>
      </c>
      <c r="M11" s="3"/>
    </row>
    <row r="12" spans="1:13" x14ac:dyDescent="0.3">
      <c r="A12" s="4" t="s">
        <v>6</v>
      </c>
      <c r="B12" s="4" t="s">
        <v>25</v>
      </c>
      <c r="C12" s="4">
        <v>11</v>
      </c>
      <c r="D12" s="4">
        <v>10</v>
      </c>
      <c r="E12" s="4">
        <v>6.4</v>
      </c>
      <c r="F12" s="4">
        <v>0</v>
      </c>
      <c r="G12" s="5">
        <v>1.5625</v>
      </c>
      <c r="H12" s="5" t="s">
        <v>44</v>
      </c>
      <c r="I12" s="6">
        <v>0.90909090909090906</v>
      </c>
      <c r="M12" s="3"/>
    </row>
    <row r="13" spans="1:13" x14ac:dyDescent="0.3">
      <c r="A13" s="4" t="s">
        <v>6</v>
      </c>
      <c r="B13" s="4" t="s">
        <v>26</v>
      </c>
      <c r="C13" s="4">
        <v>11</v>
      </c>
      <c r="D13" s="4">
        <v>11</v>
      </c>
      <c r="E13" s="4">
        <v>7.4</v>
      </c>
      <c r="F13" s="4">
        <v>3</v>
      </c>
      <c r="G13" s="5">
        <v>1.0810810810810809</v>
      </c>
      <c r="H13" s="5" t="s">
        <v>46</v>
      </c>
      <c r="I13" s="6">
        <v>1</v>
      </c>
      <c r="M13" s="3"/>
    </row>
    <row r="14" spans="1:13" x14ac:dyDescent="0.3">
      <c r="A14" s="4" t="s">
        <v>6</v>
      </c>
      <c r="B14" s="4" t="s">
        <v>27</v>
      </c>
      <c r="C14" s="4">
        <v>20</v>
      </c>
      <c r="D14" s="4">
        <v>13</v>
      </c>
      <c r="E14" s="4">
        <v>9.1</v>
      </c>
      <c r="F14" s="4">
        <v>0</v>
      </c>
      <c r="G14" s="5">
        <v>1.4285714285714286</v>
      </c>
      <c r="H14" s="5" t="s">
        <v>44</v>
      </c>
      <c r="I14" s="6">
        <v>0.65</v>
      </c>
      <c r="M14" s="3"/>
    </row>
    <row r="15" spans="1:13" x14ac:dyDescent="0.3">
      <c r="A15" s="4" t="s">
        <v>6</v>
      </c>
      <c r="B15" s="4" t="s">
        <v>28</v>
      </c>
      <c r="C15" s="4">
        <v>14</v>
      </c>
      <c r="D15" s="4">
        <v>9</v>
      </c>
      <c r="E15" s="4">
        <v>8</v>
      </c>
      <c r="F15" s="4">
        <v>2</v>
      </c>
      <c r="G15" s="5">
        <v>0.875</v>
      </c>
      <c r="H15" s="5" t="s">
        <v>44</v>
      </c>
      <c r="I15" s="6">
        <v>0.6428571428571429</v>
      </c>
      <c r="M15" s="3"/>
    </row>
    <row r="16" spans="1:13" x14ac:dyDescent="0.3">
      <c r="A16" s="4" t="s">
        <v>6</v>
      </c>
      <c r="B16" s="4" t="s">
        <v>29</v>
      </c>
      <c r="C16" s="4">
        <v>13</v>
      </c>
      <c r="D16" s="4">
        <v>9</v>
      </c>
      <c r="E16" s="4">
        <v>7.9</v>
      </c>
      <c r="F16" s="7">
        <v>5</v>
      </c>
      <c r="G16" s="5">
        <v>0.50632911392405056</v>
      </c>
      <c r="H16" s="5" t="s">
        <v>46</v>
      </c>
      <c r="I16" s="6">
        <v>0.69230769230769229</v>
      </c>
      <c r="M16" s="3"/>
    </row>
    <row r="17" spans="1:13" x14ac:dyDescent="0.3">
      <c r="A17" s="4" t="s">
        <v>6</v>
      </c>
      <c r="B17" s="4" t="s">
        <v>30</v>
      </c>
      <c r="C17" s="4">
        <v>13</v>
      </c>
      <c r="D17" s="4">
        <v>11</v>
      </c>
      <c r="E17" s="4">
        <v>6.5</v>
      </c>
      <c r="F17" s="4">
        <v>3</v>
      </c>
      <c r="G17" s="5">
        <v>1.2307692307692308</v>
      </c>
      <c r="H17" s="5" t="s">
        <v>46</v>
      </c>
      <c r="I17" s="6">
        <v>0.84615384615384615</v>
      </c>
      <c r="M17" s="3"/>
    </row>
    <row r="18" spans="1:13" x14ac:dyDescent="0.3">
      <c r="A18" s="4" t="s">
        <v>6</v>
      </c>
      <c r="B18" s="4" t="s">
        <v>31</v>
      </c>
      <c r="C18" s="4">
        <v>15</v>
      </c>
      <c r="D18" s="4">
        <v>9</v>
      </c>
      <c r="E18" s="4">
        <v>7.3</v>
      </c>
      <c r="F18" s="4">
        <v>0</v>
      </c>
      <c r="G18" s="5">
        <v>1.2328767123287672</v>
      </c>
      <c r="H18" s="5" t="s">
        <v>44</v>
      </c>
      <c r="I18" s="6">
        <v>0.6</v>
      </c>
      <c r="M18" s="3"/>
    </row>
    <row r="19" spans="1:13" x14ac:dyDescent="0.3">
      <c r="A19" s="4" t="s">
        <v>6</v>
      </c>
      <c r="B19" s="4" t="s">
        <v>32</v>
      </c>
      <c r="C19" s="4">
        <v>15</v>
      </c>
      <c r="D19" s="4">
        <v>12</v>
      </c>
      <c r="E19" s="4">
        <v>8.1</v>
      </c>
      <c r="F19" s="7">
        <v>4</v>
      </c>
      <c r="G19" s="5">
        <v>0.98765432098765438</v>
      </c>
      <c r="H19" s="5" t="s">
        <v>46</v>
      </c>
      <c r="I19" s="6">
        <v>0.8</v>
      </c>
      <c r="M19" s="3"/>
    </row>
    <row r="20" spans="1:13" x14ac:dyDescent="0.3">
      <c r="A20" s="4" t="s">
        <v>6</v>
      </c>
      <c r="B20" s="4" t="s">
        <v>33</v>
      </c>
      <c r="C20" s="4">
        <v>20</v>
      </c>
      <c r="D20" s="4">
        <v>8</v>
      </c>
      <c r="E20" s="4">
        <v>8.1999999999999993</v>
      </c>
      <c r="F20" s="4">
        <v>3</v>
      </c>
      <c r="G20" s="5">
        <v>0.60975609756097571</v>
      </c>
      <c r="H20" s="5" t="s">
        <v>46</v>
      </c>
      <c r="I20" s="6">
        <v>0.4</v>
      </c>
      <c r="M20" s="3"/>
    </row>
    <row r="21" spans="1:13" x14ac:dyDescent="0.3">
      <c r="A21" s="4" t="s">
        <v>6</v>
      </c>
      <c r="B21" s="4" t="s">
        <v>34</v>
      </c>
      <c r="C21" s="4">
        <v>14</v>
      </c>
      <c r="D21" s="4">
        <v>10</v>
      </c>
      <c r="E21" s="4">
        <v>8.3000000000000007</v>
      </c>
      <c r="F21" s="7">
        <v>4</v>
      </c>
      <c r="G21" s="5">
        <v>0.72289156626506013</v>
      </c>
      <c r="H21" s="5" t="s">
        <v>46</v>
      </c>
      <c r="I21" s="6">
        <v>0.7142857142857143</v>
      </c>
      <c r="M21" s="3"/>
    </row>
    <row r="22" spans="1:13" x14ac:dyDescent="0.3">
      <c r="A22" s="4" t="s">
        <v>6</v>
      </c>
      <c r="B22" s="4" t="s">
        <v>35</v>
      </c>
      <c r="C22" s="4">
        <v>15</v>
      </c>
      <c r="D22" s="4">
        <v>10</v>
      </c>
      <c r="E22" s="4">
        <v>6.3</v>
      </c>
      <c r="F22" s="4">
        <v>0</v>
      </c>
      <c r="G22" s="5">
        <v>1.5873015873015874</v>
      </c>
      <c r="H22" s="5" t="s">
        <v>44</v>
      </c>
      <c r="I22" s="6">
        <v>0.66666666666666663</v>
      </c>
      <c r="M22" s="3"/>
    </row>
    <row r="23" spans="1:13" x14ac:dyDescent="0.3">
      <c r="A23" s="4" t="s">
        <v>6</v>
      </c>
      <c r="B23" s="4" t="s">
        <v>36</v>
      </c>
      <c r="C23" s="4">
        <v>16</v>
      </c>
      <c r="D23" s="4">
        <v>12</v>
      </c>
      <c r="E23" s="4">
        <v>7.9</v>
      </c>
      <c r="F23" s="4">
        <v>0</v>
      </c>
      <c r="G23" s="5">
        <v>1.5189873417721518</v>
      </c>
      <c r="H23" s="5" t="s">
        <v>44</v>
      </c>
      <c r="I23" s="6">
        <v>0.75</v>
      </c>
      <c r="M23" s="3"/>
    </row>
    <row r="24" spans="1:13" x14ac:dyDescent="0.3">
      <c r="A24" s="4" t="s">
        <v>6</v>
      </c>
      <c r="B24" s="4" t="s">
        <v>37</v>
      </c>
      <c r="C24" s="4">
        <v>10</v>
      </c>
      <c r="D24" s="4">
        <v>10</v>
      </c>
      <c r="E24" s="4">
        <v>7.7</v>
      </c>
      <c r="F24" s="7">
        <v>5</v>
      </c>
      <c r="G24" s="5">
        <v>0.64935064935064934</v>
      </c>
      <c r="H24" s="5" t="s">
        <v>46</v>
      </c>
      <c r="I24" s="6">
        <v>1</v>
      </c>
      <c r="M24" s="3"/>
    </row>
    <row r="25" spans="1:13" x14ac:dyDescent="0.3">
      <c r="A25" s="4" t="s">
        <v>6</v>
      </c>
      <c r="B25" s="4" t="s">
        <v>38</v>
      </c>
      <c r="C25" s="4">
        <v>17</v>
      </c>
      <c r="D25" s="4">
        <v>14</v>
      </c>
      <c r="E25" s="4">
        <v>8.5</v>
      </c>
      <c r="F25" s="4">
        <v>1</v>
      </c>
      <c r="G25" s="5">
        <v>1.5294117647058822</v>
      </c>
      <c r="H25" s="5" t="s">
        <v>44</v>
      </c>
      <c r="I25" s="6">
        <v>0.82352941176470584</v>
      </c>
      <c r="M25" s="3"/>
    </row>
    <row r="26" spans="1:13" x14ac:dyDescent="0.3">
      <c r="A26" s="4" t="s">
        <v>6</v>
      </c>
      <c r="B26" s="4" t="s">
        <v>39</v>
      </c>
      <c r="C26" s="4">
        <v>16</v>
      </c>
      <c r="D26" s="4">
        <v>16</v>
      </c>
      <c r="E26" s="4">
        <v>8.3000000000000007</v>
      </c>
      <c r="F26" s="4">
        <v>0</v>
      </c>
      <c r="G26" s="5">
        <v>1.9277108433734937</v>
      </c>
      <c r="H26" s="5" t="s">
        <v>45</v>
      </c>
      <c r="I26" s="6">
        <v>1</v>
      </c>
      <c r="M26" s="3"/>
    </row>
    <row r="27" spans="1:13" x14ac:dyDescent="0.3">
      <c r="A27" s="4" t="s">
        <v>7</v>
      </c>
      <c r="B27" s="4" t="s">
        <v>15</v>
      </c>
      <c r="C27" s="4">
        <v>16</v>
      </c>
      <c r="D27" s="4">
        <v>9</v>
      </c>
      <c r="E27" s="4">
        <v>7.8</v>
      </c>
      <c r="F27" s="4">
        <v>0</v>
      </c>
      <c r="G27" s="5">
        <v>1.153846153846154</v>
      </c>
      <c r="H27" s="5" t="s">
        <v>44</v>
      </c>
      <c r="I27" s="6">
        <v>0.5625</v>
      </c>
      <c r="M27" s="3"/>
    </row>
    <row r="28" spans="1:13" x14ac:dyDescent="0.3">
      <c r="A28" s="4" t="s">
        <v>7</v>
      </c>
      <c r="B28" s="4" t="s">
        <v>16</v>
      </c>
      <c r="C28" s="4">
        <v>19</v>
      </c>
      <c r="D28" s="4">
        <v>16</v>
      </c>
      <c r="E28" s="4">
        <v>7.5</v>
      </c>
      <c r="F28" s="4">
        <v>2</v>
      </c>
      <c r="G28" s="5">
        <v>1.8666666666666667</v>
      </c>
      <c r="H28" s="5" t="s">
        <v>44</v>
      </c>
      <c r="I28" s="6">
        <v>0.84210526315789469</v>
      </c>
      <c r="M28" s="3"/>
    </row>
    <row r="29" spans="1:13" x14ac:dyDescent="0.3">
      <c r="A29" s="4" t="s">
        <v>7</v>
      </c>
      <c r="B29" s="4" t="s">
        <v>17</v>
      </c>
      <c r="C29" s="4">
        <v>18</v>
      </c>
      <c r="D29" s="4">
        <v>15</v>
      </c>
      <c r="E29" s="4">
        <v>6.3</v>
      </c>
      <c r="F29" s="4">
        <v>1</v>
      </c>
      <c r="G29" s="5">
        <v>2.2222222222222223</v>
      </c>
      <c r="H29" s="5" t="s">
        <v>44</v>
      </c>
      <c r="I29" s="6">
        <v>0.83333333333333337</v>
      </c>
      <c r="M29" s="3"/>
    </row>
    <row r="30" spans="1:13" x14ac:dyDescent="0.3">
      <c r="A30" s="4" t="s">
        <v>7</v>
      </c>
      <c r="B30" s="4" t="s">
        <v>18</v>
      </c>
      <c r="C30" s="4">
        <v>15</v>
      </c>
      <c r="D30" s="4">
        <v>15</v>
      </c>
      <c r="E30" s="4">
        <v>9</v>
      </c>
      <c r="F30" s="4">
        <v>0</v>
      </c>
      <c r="G30" s="5">
        <v>1.6666666666666667</v>
      </c>
      <c r="H30" s="5" t="s">
        <v>45</v>
      </c>
      <c r="I30" s="6">
        <v>1</v>
      </c>
      <c r="M30" s="3"/>
    </row>
    <row r="31" spans="1:13" x14ac:dyDescent="0.3">
      <c r="A31" s="4" t="s">
        <v>7</v>
      </c>
      <c r="B31" s="4" t="s">
        <v>19</v>
      </c>
      <c r="C31" s="4">
        <v>11</v>
      </c>
      <c r="D31" s="4">
        <v>11</v>
      </c>
      <c r="E31" s="4">
        <v>6.7</v>
      </c>
      <c r="F31" s="4">
        <v>0</v>
      </c>
      <c r="G31" s="5">
        <v>1.6417910447761193</v>
      </c>
      <c r="H31" s="5" t="s">
        <v>45</v>
      </c>
      <c r="I31" s="6">
        <v>1</v>
      </c>
      <c r="M31" s="3"/>
    </row>
    <row r="32" spans="1:13" x14ac:dyDescent="0.3">
      <c r="A32" s="4" t="s">
        <v>7</v>
      </c>
      <c r="B32" s="4" t="s">
        <v>20</v>
      </c>
      <c r="C32" s="4">
        <v>14</v>
      </c>
      <c r="D32" s="4">
        <v>13</v>
      </c>
      <c r="E32" s="4">
        <v>9.4</v>
      </c>
      <c r="F32" s="7">
        <v>4</v>
      </c>
      <c r="G32" s="5">
        <v>0.95744680851063824</v>
      </c>
      <c r="H32" s="5" t="s">
        <v>46</v>
      </c>
      <c r="I32" s="6">
        <v>0.9285714285714286</v>
      </c>
      <c r="M32" s="3"/>
    </row>
    <row r="33" spans="1:13" x14ac:dyDescent="0.3">
      <c r="A33" s="4" t="s">
        <v>7</v>
      </c>
      <c r="B33" s="4" t="s">
        <v>21</v>
      </c>
      <c r="C33" s="4">
        <v>19</v>
      </c>
      <c r="D33" s="4">
        <v>19</v>
      </c>
      <c r="E33" s="4">
        <v>9.3000000000000007</v>
      </c>
      <c r="F33" s="4">
        <v>1</v>
      </c>
      <c r="G33" s="5">
        <v>1.9354838709677418</v>
      </c>
      <c r="H33" s="5" t="s">
        <v>45</v>
      </c>
      <c r="I33" s="6">
        <v>1</v>
      </c>
      <c r="M33" s="3"/>
    </row>
    <row r="34" spans="1:13" x14ac:dyDescent="0.3">
      <c r="A34" s="4" t="s">
        <v>7</v>
      </c>
      <c r="B34" s="4" t="s">
        <v>22</v>
      </c>
      <c r="C34" s="4">
        <v>15</v>
      </c>
      <c r="D34" s="4">
        <v>10</v>
      </c>
      <c r="E34" s="4">
        <v>6.7</v>
      </c>
      <c r="F34" s="4">
        <v>3</v>
      </c>
      <c r="G34" s="5">
        <v>1.044776119402985</v>
      </c>
      <c r="H34" s="5" t="s">
        <v>46</v>
      </c>
      <c r="I34" s="6">
        <v>0.66666666666666663</v>
      </c>
      <c r="M34" s="3"/>
    </row>
    <row r="35" spans="1:13" x14ac:dyDescent="0.3">
      <c r="A35" s="4" t="s">
        <v>7</v>
      </c>
      <c r="B35" s="4" t="s">
        <v>23</v>
      </c>
      <c r="C35" s="4">
        <v>12</v>
      </c>
      <c r="D35" s="4">
        <v>12</v>
      </c>
      <c r="E35" s="4">
        <v>9.4</v>
      </c>
      <c r="F35" s="4">
        <v>2</v>
      </c>
      <c r="G35" s="5">
        <v>1.0638297872340425</v>
      </c>
      <c r="H35" s="5" t="s">
        <v>45</v>
      </c>
      <c r="I35" s="6">
        <v>1</v>
      </c>
      <c r="M35" s="3"/>
    </row>
    <row r="36" spans="1:13" x14ac:dyDescent="0.3">
      <c r="A36" s="4" t="s">
        <v>7</v>
      </c>
      <c r="B36" s="4" t="s">
        <v>24</v>
      </c>
      <c r="C36" s="4">
        <v>19</v>
      </c>
      <c r="D36" s="4">
        <v>14</v>
      </c>
      <c r="E36" s="4">
        <v>6.5</v>
      </c>
      <c r="F36" s="4">
        <v>0</v>
      </c>
      <c r="G36" s="5">
        <v>2.1538461538461537</v>
      </c>
      <c r="H36" s="5" t="s">
        <v>44</v>
      </c>
      <c r="I36" s="6">
        <v>0.73684210526315785</v>
      </c>
      <c r="M36" s="3"/>
    </row>
    <row r="37" spans="1:13" x14ac:dyDescent="0.3">
      <c r="A37" s="4" t="s">
        <v>7</v>
      </c>
      <c r="B37" s="4" t="s">
        <v>25</v>
      </c>
      <c r="C37" s="4">
        <v>20</v>
      </c>
      <c r="D37" s="4">
        <v>8</v>
      </c>
      <c r="E37" s="4">
        <v>9</v>
      </c>
      <c r="F37" s="7">
        <v>5</v>
      </c>
      <c r="G37" s="5">
        <v>0.33333333333333331</v>
      </c>
      <c r="H37" s="5" t="s">
        <v>46</v>
      </c>
      <c r="I37" s="6">
        <v>0.4</v>
      </c>
      <c r="M37" s="3"/>
    </row>
    <row r="38" spans="1:13" x14ac:dyDescent="0.3">
      <c r="A38" s="4" t="s">
        <v>7</v>
      </c>
      <c r="B38" s="4" t="s">
        <v>26</v>
      </c>
      <c r="C38" s="4">
        <v>18</v>
      </c>
      <c r="D38" s="4">
        <v>14</v>
      </c>
      <c r="E38" s="4">
        <v>9.1</v>
      </c>
      <c r="F38" s="4">
        <v>1</v>
      </c>
      <c r="G38" s="5">
        <v>1.4285714285714286</v>
      </c>
      <c r="H38" s="5" t="s">
        <v>44</v>
      </c>
      <c r="I38" s="6">
        <v>0.77777777777777779</v>
      </c>
      <c r="M38" s="3"/>
    </row>
    <row r="39" spans="1:13" x14ac:dyDescent="0.3">
      <c r="A39" s="4" t="s">
        <v>7</v>
      </c>
      <c r="B39" s="4" t="s">
        <v>27</v>
      </c>
      <c r="C39" s="4">
        <v>17</v>
      </c>
      <c r="D39" s="4">
        <v>11</v>
      </c>
      <c r="E39" s="4">
        <v>8</v>
      </c>
      <c r="F39" s="4">
        <v>3</v>
      </c>
      <c r="G39" s="5">
        <v>1</v>
      </c>
      <c r="H39" s="5" t="s">
        <v>46</v>
      </c>
      <c r="I39" s="6">
        <v>0.6470588235294118</v>
      </c>
      <c r="M39" s="3"/>
    </row>
    <row r="40" spans="1:13" x14ac:dyDescent="0.3">
      <c r="A40" s="4" t="s">
        <v>7</v>
      </c>
      <c r="B40" s="4" t="s">
        <v>28</v>
      </c>
      <c r="C40" s="4">
        <v>10</v>
      </c>
      <c r="D40" s="4">
        <v>8</v>
      </c>
      <c r="E40" s="4">
        <v>7.4</v>
      </c>
      <c r="F40" s="7">
        <v>4</v>
      </c>
      <c r="G40" s="5">
        <v>0.54054054054054046</v>
      </c>
      <c r="H40" s="5" t="s">
        <v>46</v>
      </c>
      <c r="I40" s="6">
        <v>0.8</v>
      </c>
      <c r="M40" s="3"/>
    </row>
    <row r="41" spans="1:13" x14ac:dyDescent="0.3">
      <c r="A41" s="4" t="s">
        <v>7</v>
      </c>
      <c r="B41" s="4" t="s">
        <v>29</v>
      </c>
      <c r="C41" s="4">
        <v>16</v>
      </c>
      <c r="D41" s="4">
        <v>15</v>
      </c>
      <c r="E41" s="4">
        <v>8.9</v>
      </c>
      <c r="F41" s="7">
        <v>5</v>
      </c>
      <c r="G41" s="5">
        <v>1.1235955056179774</v>
      </c>
      <c r="H41" s="5" t="s">
        <v>46</v>
      </c>
      <c r="I41" s="6">
        <v>0.9375</v>
      </c>
      <c r="M41" s="3"/>
    </row>
    <row r="42" spans="1:13" x14ac:dyDescent="0.3">
      <c r="A42" s="4" t="s">
        <v>7</v>
      </c>
      <c r="B42" s="4" t="s">
        <v>30</v>
      </c>
      <c r="C42" s="4">
        <v>12</v>
      </c>
      <c r="D42" s="4">
        <v>10</v>
      </c>
      <c r="E42" s="4">
        <v>6.7</v>
      </c>
      <c r="F42" s="4">
        <v>2</v>
      </c>
      <c r="G42" s="5">
        <v>1.1940298507462686</v>
      </c>
      <c r="H42" s="5" t="s">
        <v>44</v>
      </c>
      <c r="I42" s="6">
        <v>0.83333333333333337</v>
      </c>
      <c r="M42" s="3"/>
    </row>
    <row r="43" spans="1:13" x14ac:dyDescent="0.3">
      <c r="A43" s="4" t="s">
        <v>7</v>
      </c>
      <c r="B43" s="4" t="s">
        <v>31</v>
      </c>
      <c r="C43" s="4">
        <v>11</v>
      </c>
      <c r="D43" s="4">
        <v>11</v>
      </c>
      <c r="E43" s="4">
        <v>6.4</v>
      </c>
      <c r="F43" s="4">
        <v>2</v>
      </c>
      <c r="G43" s="5">
        <v>1.40625</v>
      </c>
      <c r="H43" s="5" t="s">
        <v>45</v>
      </c>
      <c r="I43" s="6">
        <v>1</v>
      </c>
      <c r="M43" s="3"/>
    </row>
    <row r="44" spans="1:13" x14ac:dyDescent="0.3">
      <c r="A44" s="4" t="s">
        <v>7</v>
      </c>
      <c r="B44" s="4" t="s">
        <v>32</v>
      </c>
      <c r="C44" s="4">
        <v>19</v>
      </c>
      <c r="D44" s="4">
        <v>12</v>
      </c>
      <c r="E44" s="4">
        <v>9.4</v>
      </c>
      <c r="F44" s="7">
        <v>4</v>
      </c>
      <c r="G44" s="5">
        <v>0.85106382978723405</v>
      </c>
      <c r="H44" s="5" t="s">
        <v>46</v>
      </c>
      <c r="I44" s="6">
        <v>0.63157894736842102</v>
      </c>
      <c r="M44" s="3"/>
    </row>
    <row r="45" spans="1:13" x14ac:dyDescent="0.3">
      <c r="A45" s="4" t="s">
        <v>7</v>
      </c>
      <c r="B45" s="4" t="s">
        <v>33</v>
      </c>
      <c r="C45" s="4">
        <v>14</v>
      </c>
      <c r="D45" s="4">
        <v>11</v>
      </c>
      <c r="E45" s="4">
        <v>8.4</v>
      </c>
      <c r="F45" s="7">
        <v>5</v>
      </c>
      <c r="G45" s="5">
        <v>0.7142857142857143</v>
      </c>
      <c r="H45" s="5" t="s">
        <v>46</v>
      </c>
      <c r="I45" s="6">
        <v>0.7857142857142857</v>
      </c>
      <c r="M45" s="3"/>
    </row>
    <row r="46" spans="1:13" x14ac:dyDescent="0.3">
      <c r="A46" s="4" t="s">
        <v>7</v>
      </c>
      <c r="B46" s="4" t="s">
        <v>34</v>
      </c>
      <c r="C46" s="4">
        <v>15</v>
      </c>
      <c r="D46" s="4">
        <v>12</v>
      </c>
      <c r="E46" s="4">
        <v>7.6</v>
      </c>
      <c r="F46" s="4">
        <v>3</v>
      </c>
      <c r="G46" s="5">
        <v>1.1842105263157896</v>
      </c>
      <c r="H46" s="5" t="s">
        <v>46</v>
      </c>
      <c r="I46" s="6">
        <v>0.8</v>
      </c>
      <c r="M46" s="3"/>
    </row>
    <row r="47" spans="1:13" x14ac:dyDescent="0.3">
      <c r="A47" s="4" t="s">
        <v>7</v>
      </c>
      <c r="B47" s="4" t="s">
        <v>35</v>
      </c>
      <c r="C47" s="4">
        <v>18</v>
      </c>
      <c r="D47" s="4">
        <v>12</v>
      </c>
      <c r="E47" s="4">
        <v>7.7</v>
      </c>
      <c r="F47" s="4">
        <v>1</v>
      </c>
      <c r="G47" s="5">
        <v>1.4285714285714286</v>
      </c>
      <c r="H47" s="5" t="s">
        <v>44</v>
      </c>
      <c r="I47" s="6">
        <v>0.66666666666666663</v>
      </c>
      <c r="M47" s="3"/>
    </row>
    <row r="48" spans="1:13" x14ac:dyDescent="0.3">
      <c r="A48" s="4" t="s">
        <v>7</v>
      </c>
      <c r="B48" s="4" t="s">
        <v>36</v>
      </c>
      <c r="C48" s="4">
        <v>19</v>
      </c>
      <c r="D48" s="4">
        <v>11</v>
      </c>
      <c r="E48" s="4">
        <v>7.6</v>
      </c>
      <c r="F48" s="4">
        <v>3</v>
      </c>
      <c r="G48" s="5">
        <v>1.0526315789473684</v>
      </c>
      <c r="H48" s="5" t="s">
        <v>46</v>
      </c>
      <c r="I48" s="6">
        <v>0.57894736842105265</v>
      </c>
      <c r="M48" s="3"/>
    </row>
    <row r="49" spans="1:13" x14ac:dyDescent="0.3">
      <c r="A49" s="4" t="s">
        <v>7</v>
      </c>
      <c r="B49" s="4" t="s">
        <v>37</v>
      </c>
      <c r="C49" s="4">
        <v>19</v>
      </c>
      <c r="D49" s="4">
        <v>10</v>
      </c>
      <c r="E49" s="4">
        <v>7.2</v>
      </c>
      <c r="F49" s="4">
        <v>1</v>
      </c>
      <c r="G49" s="5">
        <v>1.25</v>
      </c>
      <c r="H49" s="5" t="s">
        <v>44</v>
      </c>
      <c r="I49" s="6">
        <v>0.52631578947368418</v>
      </c>
      <c r="M49" s="3"/>
    </row>
    <row r="50" spans="1:13" x14ac:dyDescent="0.3">
      <c r="A50" s="4" t="s">
        <v>7</v>
      </c>
      <c r="B50" s="4" t="s">
        <v>38</v>
      </c>
      <c r="C50" s="4">
        <v>10</v>
      </c>
      <c r="D50" s="4">
        <v>9</v>
      </c>
      <c r="E50" s="4">
        <v>9.5</v>
      </c>
      <c r="F50" s="7">
        <v>4</v>
      </c>
      <c r="G50" s="5">
        <v>0.52631578947368418</v>
      </c>
      <c r="H50" s="5" t="s">
        <v>46</v>
      </c>
      <c r="I50" s="6">
        <v>0.9</v>
      </c>
      <c r="M50" s="3"/>
    </row>
    <row r="51" spans="1:13" x14ac:dyDescent="0.3">
      <c r="A51" s="4" t="s">
        <v>7</v>
      </c>
      <c r="B51" s="4" t="s">
        <v>39</v>
      </c>
      <c r="C51" s="4">
        <v>12</v>
      </c>
      <c r="D51" s="4">
        <v>11</v>
      </c>
      <c r="E51" s="4">
        <v>6.6</v>
      </c>
      <c r="F51" s="7">
        <v>5</v>
      </c>
      <c r="G51" s="5">
        <v>0.90909090909090917</v>
      </c>
      <c r="H51" s="5" t="s">
        <v>46</v>
      </c>
      <c r="I51" s="6">
        <v>0.91666666666666663</v>
      </c>
      <c r="M51" s="3"/>
    </row>
    <row r="52" spans="1:13" x14ac:dyDescent="0.3">
      <c r="A52" s="4" t="s">
        <v>8</v>
      </c>
      <c r="B52" s="4" t="s">
        <v>15</v>
      </c>
      <c r="C52" s="4">
        <v>16</v>
      </c>
      <c r="D52" s="4">
        <v>14</v>
      </c>
      <c r="E52" s="4">
        <v>7.9</v>
      </c>
      <c r="F52" s="4">
        <v>1</v>
      </c>
      <c r="G52" s="5">
        <v>1.6455696202531644</v>
      </c>
      <c r="H52" s="5" t="s">
        <v>44</v>
      </c>
      <c r="I52" s="6">
        <v>0.875</v>
      </c>
      <c r="M52" s="3"/>
    </row>
    <row r="53" spans="1:13" x14ac:dyDescent="0.3">
      <c r="A53" s="4" t="s">
        <v>8</v>
      </c>
      <c r="B53" s="4" t="s">
        <v>16</v>
      </c>
      <c r="C53" s="4">
        <v>19</v>
      </c>
      <c r="D53" s="4">
        <v>10</v>
      </c>
      <c r="E53" s="4">
        <v>8.6</v>
      </c>
      <c r="F53" s="7">
        <v>4</v>
      </c>
      <c r="G53" s="5">
        <v>0.69767441860465118</v>
      </c>
      <c r="H53" s="5" t="s">
        <v>46</v>
      </c>
      <c r="I53" s="6">
        <v>0.52631578947368418</v>
      </c>
      <c r="M53" s="3"/>
    </row>
    <row r="54" spans="1:13" x14ac:dyDescent="0.3">
      <c r="A54" s="4" t="s">
        <v>8</v>
      </c>
      <c r="B54" s="4" t="s">
        <v>17</v>
      </c>
      <c r="C54" s="4">
        <v>17</v>
      </c>
      <c r="D54" s="4">
        <v>9</v>
      </c>
      <c r="E54" s="4">
        <v>9.4</v>
      </c>
      <c r="F54" s="7">
        <v>4</v>
      </c>
      <c r="G54" s="5">
        <v>0.53191489361702127</v>
      </c>
      <c r="H54" s="5" t="s">
        <v>46</v>
      </c>
      <c r="I54" s="6">
        <v>0.52941176470588236</v>
      </c>
      <c r="M54" s="3"/>
    </row>
    <row r="55" spans="1:13" x14ac:dyDescent="0.3">
      <c r="A55" s="4" t="s">
        <v>8</v>
      </c>
      <c r="B55" s="4" t="s">
        <v>18</v>
      </c>
      <c r="C55" s="4">
        <v>20</v>
      </c>
      <c r="D55" s="4">
        <v>19</v>
      </c>
      <c r="E55" s="4">
        <v>8.3000000000000007</v>
      </c>
      <c r="F55" s="4">
        <v>0</v>
      </c>
      <c r="G55" s="5">
        <v>2.2891566265060237</v>
      </c>
      <c r="H55" s="5" t="s">
        <v>45</v>
      </c>
      <c r="I55" s="6">
        <v>0.95</v>
      </c>
      <c r="M55" s="3"/>
    </row>
    <row r="56" spans="1:13" x14ac:dyDescent="0.3">
      <c r="A56" s="4" t="s">
        <v>8</v>
      </c>
      <c r="B56" s="4" t="s">
        <v>19</v>
      </c>
      <c r="C56" s="4">
        <v>13</v>
      </c>
      <c r="D56" s="4">
        <v>11</v>
      </c>
      <c r="E56" s="4">
        <v>7.7</v>
      </c>
      <c r="F56" s="4">
        <v>1</v>
      </c>
      <c r="G56" s="5">
        <v>1.2987012987012987</v>
      </c>
      <c r="H56" s="5" t="s">
        <v>44</v>
      </c>
      <c r="I56" s="6">
        <v>0.84615384615384615</v>
      </c>
      <c r="M56" s="3"/>
    </row>
    <row r="57" spans="1:13" x14ac:dyDescent="0.3">
      <c r="A57" s="4" t="s">
        <v>8</v>
      </c>
      <c r="B57" s="4" t="s">
        <v>20</v>
      </c>
      <c r="C57" s="4">
        <v>11</v>
      </c>
      <c r="D57" s="4">
        <v>11</v>
      </c>
      <c r="E57" s="4">
        <v>6.6</v>
      </c>
      <c r="F57" s="4">
        <v>0</v>
      </c>
      <c r="G57" s="5">
        <v>1.6666666666666667</v>
      </c>
      <c r="H57" s="5" t="s">
        <v>45</v>
      </c>
      <c r="I57" s="6">
        <v>1</v>
      </c>
      <c r="M57" s="3"/>
    </row>
    <row r="58" spans="1:13" x14ac:dyDescent="0.3">
      <c r="A58" s="4" t="s">
        <v>8</v>
      </c>
      <c r="B58" s="4" t="s">
        <v>21</v>
      </c>
      <c r="C58" s="4">
        <v>18</v>
      </c>
      <c r="D58" s="4">
        <v>9</v>
      </c>
      <c r="E58" s="4">
        <v>6.8</v>
      </c>
      <c r="F58" s="4">
        <v>2</v>
      </c>
      <c r="G58" s="5">
        <v>1.0294117647058825</v>
      </c>
      <c r="H58" s="5" t="s">
        <v>44</v>
      </c>
      <c r="I58" s="6">
        <v>0.5</v>
      </c>
      <c r="M58" s="3"/>
    </row>
    <row r="59" spans="1:13" x14ac:dyDescent="0.3">
      <c r="A59" s="4" t="s">
        <v>8</v>
      </c>
      <c r="B59" s="4" t="s">
        <v>22</v>
      </c>
      <c r="C59" s="4">
        <v>18</v>
      </c>
      <c r="D59" s="4">
        <v>10</v>
      </c>
      <c r="E59" s="4">
        <v>6.3</v>
      </c>
      <c r="F59" s="4">
        <v>0</v>
      </c>
      <c r="G59" s="5">
        <v>1.5873015873015874</v>
      </c>
      <c r="H59" s="5" t="s">
        <v>44</v>
      </c>
      <c r="I59" s="6">
        <v>0.55555555555555558</v>
      </c>
      <c r="M59" s="3"/>
    </row>
    <row r="60" spans="1:13" x14ac:dyDescent="0.3">
      <c r="A60" s="4" t="s">
        <v>8</v>
      </c>
      <c r="B60" s="4" t="s">
        <v>23</v>
      </c>
      <c r="C60" s="4">
        <v>15</v>
      </c>
      <c r="D60" s="4">
        <v>11</v>
      </c>
      <c r="E60" s="4">
        <v>6.4</v>
      </c>
      <c r="F60" s="7">
        <v>4</v>
      </c>
      <c r="G60" s="5">
        <v>1.09375</v>
      </c>
      <c r="H60" s="5" t="s">
        <v>46</v>
      </c>
      <c r="I60" s="6">
        <v>0.73333333333333328</v>
      </c>
      <c r="M60" s="3"/>
    </row>
    <row r="61" spans="1:13" x14ac:dyDescent="0.3">
      <c r="A61" s="4" t="s">
        <v>8</v>
      </c>
      <c r="B61" s="4" t="s">
        <v>24</v>
      </c>
      <c r="C61" s="4">
        <v>19</v>
      </c>
      <c r="D61" s="4">
        <v>19</v>
      </c>
      <c r="E61" s="4">
        <v>7.9</v>
      </c>
      <c r="F61" s="4">
        <v>2</v>
      </c>
      <c r="G61" s="5">
        <v>2.1518987341772151</v>
      </c>
      <c r="H61" s="5" t="s">
        <v>45</v>
      </c>
      <c r="I61" s="6">
        <v>1</v>
      </c>
      <c r="M61" s="3"/>
    </row>
    <row r="62" spans="1:13" x14ac:dyDescent="0.3">
      <c r="A62" s="4" t="s">
        <v>8</v>
      </c>
      <c r="B62" s="4" t="s">
        <v>25</v>
      </c>
      <c r="C62" s="4">
        <v>15</v>
      </c>
      <c r="D62" s="4">
        <v>9</v>
      </c>
      <c r="E62" s="4">
        <v>8.4</v>
      </c>
      <c r="F62" s="4">
        <v>0</v>
      </c>
      <c r="G62" s="5">
        <v>1.0714285714285714</v>
      </c>
      <c r="H62" s="5" t="s">
        <v>44</v>
      </c>
      <c r="I62" s="6">
        <v>0.6</v>
      </c>
      <c r="M62" s="3"/>
    </row>
    <row r="63" spans="1:13" x14ac:dyDescent="0.3">
      <c r="A63" s="4" t="s">
        <v>8</v>
      </c>
      <c r="B63" s="4" t="s">
        <v>26</v>
      </c>
      <c r="C63" s="4">
        <v>16</v>
      </c>
      <c r="D63" s="4">
        <v>16</v>
      </c>
      <c r="E63" s="4">
        <v>9.1999999999999993</v>
      </c>
      <c r="F63" s="7">
        <v>4</v>
      </c>
      <c r="G63" s="5">
        <v>1.3043478260869565</v>
      </c>
      <c r="H63" s="5" t="s">
        <v>46</v>
      </c>
      <c r="I63" s="6">
        <v>1</v>
      </c>
      <c r="M63" s="3"/>
    </row>
    <row r="64" spans="1:13" x14ac:dyDescent="0.3">
      <c r="A64" s="4" t="s">
        <v>8</v>
      </c>
      <c r="B64" s="4" t="s">
        <v>27</v>
      </c>
      <c r="C64" s="4">
        <v>15</v>
      </c>
      <c r="D64" s="4">
        <v>11</v>
      </c>
      <c r="E64" s="4">
        <v>7.9</v>
      </c>
      <c r="F64" s="7">
        <v>4</v>
      </c>
      <c r="G64" s="5">
        <v>0.88607594936708856</v>
      </c>
      <c r="H64" s="5" t="s">
        <v>46</v>
      </c>
      <c r="I64" s="6">
        <v>0.73333333333333328</v>
      </c>
      <c r="M64" s="3"/>
    </row>
    <row r="65" spans="1:13" x14ac:dyDescent="0.3">
      <c r="A65" s="4" t="s">
        <v>8</v>
      </c>
      <c r="B65" s="4" t="s">
        <v>28</v>
      </c>
      <c r="C65" s="4">
        <v>16</v>
      </c>
      <c r="D65" s="4">
        <v>13</v>
      </c>
      <c r="E65" s="4">
        <v>7.9</v>
      </c>
      <c r="F65" s="4">
        <v>3</v>
      </c>
      <c r="G65" s="5">
        <v>1.2658227848101264</v>
      </c>
      <c r="H65" s="5" t="s">
        <v>46</v>
      </c>
      <c r="I65" s="6">
        <v>0.8125</v>
      </c>
      <c r="M65" s="3"/>
    </row>
    <row r="66" spans="1:13" x14ac:dyDescent="0.3">
      <c r="A66" s="4" t="s">
        <v>8</v>
      </c>
      <c r="B66" s="4" t="s">
        <v>29</v>
      </c>
      <c r="C66" s="4">
        <v>10</v>
      </c>
      <c r="D66" s="4">
        <v>10</v>
      </c>
      <c r="E66" s="4">
        <v>6.6</v>
      </c>
      <c r="F66" s="7">
        <v>5</v>
      </c>
      <c r="G66" s="5">
        <v>0.75757575757575757</v>
      </c>
      <c r="H66" s="5" t="s">
        <v>46</v>
      </c>
      <c r="I66" s="6">
        <v>1</v>
      </c>
      <c r="M66" s="3"/>
    </row>
    <row r="67" spans="1:13" x14ac:dyDescent="0.3">
      <c r="A67" s="4" t="s">
        <v>8</v>
      </c>
      <c r="B67" s="4" t="s">
        <v>30</v>
      </c>
      <c r="C67" s="4">
        <v>16</v>
      </c>
      <c r="D67" s="4">
        <v>12</v>
      </c>
      <c r="E67" s="4">
        <v>6.7</v>
      </c>
      <c r="F67" s="4">
        <v>1</v>
      </c>
      <c r="G67" s="5">
        <v>1.6417910447761193</v>
      </c>
      <c r="H67" s="5" t="s">
        <v>44</v>
      </c>
      <c r="I67" s="6">
        <v>0.75</v>
      </c>
      <c r="M67" s="3"/>
    </row>
    <row r="68" spans="1:13" x14ac:dyDescent="0.3">
      <c r="A68" s="4" t="s">
        <v>8</v>
      </c>
      <c r="B68" s="4" t="s">
        <v>31</v>
      </c>
      <c r="C68" s="4">
        <v>10</v>
      </c>
      <c r="D68" s="4">
        <v>8</v>
      </c>
      <c r="E68" s="4">
        <v>8.1999999999999993</v>
      </c>
      <c r="F68" s="7">
        <v>4</v>
      </c>
      <c r="G68" s="5">
        <v>0.48780487804878053</v>
      </c>
      <c r="H68" s="5" t="s">
        <v>46</v>
      </c>
      <c r="I68" s="6">
        <v>0.8</v>
      </c>
      <c r="M68" s="3"/>
    </row>
    <row r="69" spans="1:13" x14ac:dyDescent="0.3">
      <c r="A69" s="4" t="s">
        <v>8</v>
      </c>
      <c r="B69" s="4" t="s">
        <v>32</v>
      </c>
      <c r="C69" s="4">
        <v>13</v>
      </c>
      <c r="D69" s="4">
        <v>10</v>
      </c>
      <c r="E69" s="4">
        <v>8</v>
      </c>
      <c r="F69" s="7">
        <v>5</v>
      </c>
      <c r="G69" s="5">
        <v>0.625</v>
      </c>
      <c r="H69" s="5" t="s">
        <v>46</v>
      </c>
      <c r="I69" s="6">
        <v>0.76923076923076927</v>
      </c>
      <c r="M69" s="3"/>
    </row>
    <row r="70" spans="1:13" x14ac:dyDescent="0.3">
      <c r="A70" s="4" t="s">
        <v>8</v>
      </c>
      <c r="B70" s="4" t="s">
        <v>33</v>
      </c>
      <c r="C70" s="4">
        <v>20</v>
      </c>
      <c r="D70" s="4">
        <v>9</v>
      </c>
      <c r="E70" s="4">
        <v>9.4</v>
      </c>
      <c r="F70" s="7">
        <v>5</v>
      </c>
      <c r="G70" s="5">
        <v>0.42553191489361702</v>
      </c>
      <c r="H70" s="5" t="s">
        <v>46</v>
      </c>
      <c r="I70" s="6">
        <v>0.45</v>
      </c>
      <c r="M70" s="3"/>
    </row>
    <row r="71" spans="1:13" x14ac:dyDescent="0.3">
      <c r="A71" s="4" t="s">
        <v>8</v>
      </c>
      <c r="B71" s="4" t="s">
        <v>34</v>
      </c>
      <c r="C71" s="4">
        <v>12</v>
      </c>
      <c r="D71" s="4">
        <v>10</v>
      </c>
      <c r="E71" s="4">
        <v>7.5</v>
      </c>
      <c r="F71" s="4">
        <v>3</v>
      </c>
      <c r="G71" s="5">
        <v>0.93333333333333335</v>
      </c>
      <c r="H71" s="5" t="s">
        <v>46</v>
      </c>
      <c r="I71" s="6">
        <v>0.83333333333333337</v>
      </c>
      <c r="M71" s="3"/>
    </row>
    <row r="72" spans="1:13" x14ac:dyDescent="0.3">
      <c r="A72" s="4" t="s">
        <v>8</v>
      </c>
      <c r="B72" s="4" t="s">
        <v>35</v>
      </c>
      <c r="C72" s="4">
        <v>19</v>
      </c>
      <c r="D72" s="4">
        <v>18</v>
      </c>
      <c r="E72" s="4">
        <v>7.1</v>
      </c>
      <c r="F72" s="4">
        <v>0</v>
      </c>
      <c r="G72" s="5">
        <v>2.535211267605634</v>
      </c>
      <c r="H72" s="5" t="s">
        <v>44</v>
      </c>
      <c r="I72" s="6">
        <v>0.94736842105263153</v>
      </c>
      <c r="M72" s="3"/>
    </row>
    <row r="73" spans="1:13" x14ac:dyDescent="0.3">
      <c r="A73" s="4" t="s">
        <v>8</v>
      </c>
      <c r="B73" s="4" t="s">
        <v>36</v>
      </c>
      <c r="C73" s="4">
        <v>17</v>
      </c>
      <c r="D73" s="4">
        <v>17</v>
      </c>
      <c r="E73" s="4">
        <v>7.7</v>
      </c>
      <c r="F73" s="4">
        <v>2</v>
      </c>
      <c r="G73" s="5">
        <v>1.948051948051948</v>
      </c>
      <c r="H73" s="5" t="s">
        <v>45</v>
      </c>
      <c r="I73" s="6">
        <v>1</v>
      </c>
      <c r="M73" s="3"/>
    </row>
    <row r="74" spans="1:13" x14ac:dyDescent="0.3">
      <c r="A74" s="4" t="s">
        <v>8</v>
      </c>
      <c r="B74" s="4" t="s">
        <v>37</v>
      </c>
      <c r="C74" s="4">
        <v>17</v>
      </c>
      <c r="D74" s="4">
        <v>12</v>
      </c>
      <c r="E74" s="4">
        <v>6.8</v>
      </c>
      <c r="F74" s="4">
        <v>3</v>
      </c>
      <c r="G74" s="5">
        <v>1.3235294117647058</v>
      </c>
      <c r="H74" s="5" t="s">
        <v>46</v>
      </c>
      <c r="I74" s="6">
        <v>0.70588235294117652</v>
      </c>
      <c r="M74" s="3"/>
    </row>
    <row r="75" spans="1:13" x14ac:dyDescent="0.3">
      <c r="A75" s="4" t="s">
        <v>8</v>
      </c>
      <c r="B75" s="4" t="s">
        <v>38</v>
      </c>
      <c r="C75" s="4">
        <v>14</v>
      </c>
      <c r="D75" s="4">
        <v>9</v>
      </c>
      <c r="E75" s="4">
        <v>7.8</v>
      </c>
      <c r="F75" s="4">
        <v>2</v>
      </c>
      <c r="G75" s="5">
        <v>0.89743589743589747</v>
      </c>
      <c r="H75" s="5" t="s">
        <v>44</v>
      </c>
      <c r="I75" s="6">
        <v>0.6428571428571429</v>
      </c>
      <c r="M75" s="3"/>
    </row>
    <row r="76" spans="1:13" x14ac:dyDescent="0.3">
      <c r="A76" s="4" t="s">
        <v>8</v>
      </c>
      <c r="B76" s="4" t="s">
        <v>39</v>
      </c>
      <c r="C76" s="4">
        <v>20</v>
      </c>
      <c r="D76" s="4">
        <v>16</v>
      </c>
      <c r="E76" s="4">
        <v>6.8</v>
      </c>
      <c r="F76" s="4">
        <v>1</v>
      </c>
      <c r="G76" s="5">
        <v>2.2058823529411766</v>
      </c>
      <c r="H76" s="5" t="s">
        <v>44</v>
      </c>
      <c r="I76" s="6">
        <v>0.8</v>
      </c>
      <c r="M76" s="3"/>
    </row>
    <row r="77" spans="1:13" x14ac:dyDescent="0.3">
      <c r="A77" s="4" t="s">
        <v>9</v>
      </c>
      <c r="B77" s="4" t="s">
        <v>15</v>
      </c>
      <c r="C77" s="4">
        <v>19</v>
      </c>
      <c r="D77" s="4">
        <v>11</v>
      </c>
      <c r="E77" s="4">
        <v>6.7</v>
      </c>
      <c r="F77" s="4">
        <v>0</v>
      </c>
      <c r="G77" s="5">
        <v>1.6417910447761193</v>
      </c>
      <c r="H77" s="5" t="s">
        <v>44</v>
      </c>
      <c r="I77" s="6">
        <v>0.57894736842105265</v>
      </c>
      <c r="M77" s="3"/>
    </row>
    <row r="78" spans="1:13" x14ac:dyDescent="0.3">
      <c r="A78" s="4" t="s">
        <v>9</v>
      </c>
      <c r="B78" s="4" t="s">
        <v>16</v>
      </c>
      <c r="C78" s="4">
        <v>19</v>
      </c>
      <c r="D78" s="4">
        <v>16</v>
      </c>
      <c r="E78" s="4">
        <v>8.9</v>
      </c>
      <c r="F78" s="4">
        <v>3</v>
      </c>
      <c r="G78" s="5">
        <v>1.4606741573033708</v>
      </c>
      <c r="H78" s="5" t="s">
        <v>46</v>
      </c>
      <c r="I78" s="6">
        <v>0.84210526315789469</v>
      </c>
      <c r="M78" s="3"/>
    </row>
    <row r="79" spans="1:13" x14ac:dyDescent="0.3">
      <c r="A79" s="4" t="s">
        <v>9</v>
      </c>
      <c r="B79" s="4" t="s">
        <v>17</v>
      </c>
      <c r="C79" s="4">
        <v>11</v>
      </c>
      <c r="D79" s="4">
        <v>9</v>
      </c>
      <c r="E79" s="4">
        <v>9</v>
      </c>
      <c r="F79" s="7">
        <v>4</v>
      </c>
      <c r="G79" s="5">
        <v>0.55555555555555558</v>
      </c>
      <c r="H79" s="5" t="s">
        <v>46</v>
      </c>
      <c r="I79" s="6">
        <v>0.81818181818181823</v>
      </c>
      <c r="M79" s="3"/>
    </row>
    <row r="80" spans="1:13" x14ac:dyDescent="0.3">
      <c r="A80" s="4" t="s">
        <v>9</v>
      </c>
      <c r="B80" s="4" t="s">
        <v>18</v>
      </c>
      <c r="C80" s="4">
        <v>16</v>
      </c>
      <c r="D80" s="4">
        <v>12</v>
      </c>
      <c r="E80" s="4">
        <v>8.1999999999999993</v>
      </c>
      <c r="F80" s="4">
        <v>3</v>
      </c>
      <c r="G80" s="5">
        <v>1.0975609756097562</v>
      </c>
      <c r="H80" s="5" t="s">
        <v>46</v>
      </c>
      <c r="I80" s="6">
        <v>0.75</v>
      </c>
      <c r="M80" s="3"/>
    </row>
    <row r="81" spans="1:13" x14ac:dyDescent="0.3">
      <c r="A81" s="4" t="s">
        <v>9</v>
      </c>
      <c r="B81" s="4" t="s">
        <v>19</v>
      </c>
      <c r="C81" s="4">
        <v>10</v>
      </c>
      <c r="D81" s="4">
        <v>8</v>
      </c>
      <c r="E81" s="4">
        <v>9.1</v>
      </c>
      <c r="F81" s="7">
        <v>5</v>
      </c>
      <c r="G81" s="5">
        <v>0.32967032967032966</v>
      </c>
      <c r="H81" s="5" t="s">
        <v>46</v>
      </c>
      <c r="I81" s="6">
        <v>0.8</v>
      </c>
      <c r="M81" s="3"/>
    </row>
    <row r="82" spans="1:13" x14ac:dyDescent="0.3">
      <c r="A82" s="4" t="s">
        <v>9</v>
      </c>
      <c r="B82" s="4" t="s">
        <v>20</v>
      </c>
      <c r="C82" s="4">
        <v>15</v>
      </c>
      <c r="D82" s="4">
        <v>12</v>
      </c>
      <c r="E82" s="4">
        <v>6.7</v>
      </c>
      <c r="F82" s="7">
        <v>4</v>
      </c>
      <c r="G82" s="5">
        <v>1.1940298507462686</v>
      </c>
      <c r="H82" s="5" t="s">
        <v>46</v>
      </c>
      <c r="I82" s="6">
        <v>0.8</v>
      </c>
      <c r="M82" s="3"/>
    </row>
    <row r="83" spans="1:13" x14ac:dyDescent="0.3">
      <c r="A83" s="4" t="s">
        <v>9</v>
      </c>
      <c r="B83" s="4" t="s">
        <v>21</v>
      </c>
      <c r="C83" s="4">
        <v>15</v>
      </c>
      <c r="D83" s="4">
        <v>13</v>
      </c>
      <c r="E83" s="4">
        <v>9.3000000000000007</v>
      </c>
      <c r="F83" s="4">
        <v>0</v>
      </c>
      <c r="G83" s="5">
        <v>1.3978494623655913</v>
      </c>
      <c r="H83" s="5" t="s">
        <v>44</v>
      </c>
      <c r="I83" s="6">
        <v>0.8666666666666667</v>
      </c>
      <c r="M83" s="3"/>
    </row>
    <row r="84" spans="1:13" x14ac:dyDescent="0.3">
      <c r="A84" s="4" t="s">
        <v>9</v>
      </c>
      <c r="B84" s="4" t="s">
        <v>22</v>
      </c>
      <c r="C84" s="4">
        <v>17</v>
      </c>
      <c r="D84" s="4">
        <v>11</v>
      </c>
      <c r="E84" s="4">
        <v>9</v>
      </c>
      <c r="F84" s="4">
        <v>0</v>
      </c>
      <c r="G84" s="5">
        <v>1.2222222222222223</v>
      </c>
      <c r="H84" s="5" t="s">
        <v>44</v>
      </c>
      <c r="I84" s="6">
        <v>0.6470588235294118</v>
      </c>
      <c r="M84" s="3"/>
    </row>
    <row r="85" spans="1:13" x14ac:dyDescent="0.3">
      <c r="A85" s="4" t="s">
        <v>9</v>
      </c>
      <c r="B85" s="4" t="s">
        <v>23</v>
      </c>
      <c r="C85" s="4">
        <v>15</v>
      </c>
      <c r="D85" s="4">
        <v>13</v>
      </c>
      <c r="E85" s="4">
        <v>8</v>
      </c>
      <c r="F85" s="4">
        <v>0</v>
      </c>
      <c r="G85" s="5">
        <v>1.625</v>
      </c>
      <c r="H85" s="5" t="s">
        <v>44</v>
      </c>
      <c r="I85" s="6">
        <v>0.8666666666666667</v>
      </c>
      <c r="M85" s="3"/>
    </row>
    <row r="86" spans="1:13" x14ac:dyDescent="0.3">
      <c r="A86" s="4" t="s">
        <v>9</v>
      </c>
      <c r="B86" s="4" t="s">
        <v>24</v>
      </c>
      <c r="C86" s="4">
        <v>10</v>
      </c>
      <c r="D86" s="4">
        <v>8</v>
      </c>
      <c r="E86" s="4">
        <v>6.3</v>
      </c>
      <c r="F86" s="4">
        <v>3</v>
      </c>
      <c r="G86" s="5">
        <v>0.79365079365079372</v>
      </c>
      <c r="H86" s="5" t="s">
        <v>46</v>
      </c>
      <c r="I86" s="6">
        <v>0.8</v>
      </c>
      <c r="M86" s="3"/>
    </row>
    <row r="87" spans="1:13" x14ac:dyDescent="0.3">
      <c r="A87" s="4" t="s">
        <v>9</v>
      </c>
      <c r="B87" s="4" t="s">
        <v>25</v>
      </c>
      <c r="C87" s="4">
        <v>18</v>
      </c>
      <c r="D87" s="4">
        <v>15</v>
      </c>
      <c r="E87" s="4">
        <v>6.1</v>
      </c>
      <c r="F87" s="4">
        <v>0</v>
      </c>
      <c r="G87" s="5">
        <v>2.459016393442623</v>
      </c>
      <c r="H87" s="5" t="s">
        <v>44</v>
      </c>
      <c r="I87" s="6">
        <v>0.83333333333333337</v>
      </c>
      <c r="M87" s="3"/>
    </row>
    <row r="88" spans="1:13" x14ac:dyDescent="0.3">
      <c r="A88" s="4" t="s">
        <v>9</v>
      </c>
      <c r="B88" s="4" t="s">
        <v>26</v>
      </c>
      <c r="C88" s="4">
        <v>18</v>
      </c>
      <c r="D88" s="4">
        <v>9</v>
      </c>
      <c r="E88" s="4">
        <v>7.6</v>
      </c>
      <c r="F88" s="7">
        <v>4</v>
      </c>
      <c r="G88" s="5">
        <v>0.65789473684210531</v>
      </c>
      <c r="H88" s="5" t="s">
        <v>46</v>
      </c>
      <c r="I88" s="6">
        <v>0.5</v>
      </c>
      <c r="M88" s="3"/>
    </row>
    <row r="89" spans="1:13" x14ac:dyDescent="0.3">
      <c r="A89" s="4" t="s">
        <v>9</v>
      </c>
      <c r="B89" s="4" t="s">
        <v>27</v>
      </c>
      <c r="C89" s="4">
        <v>18</v>
      </c>
      <c r="D89" s="4">
        <v>13</v>
      </c>
      <c r="E89" s="4">
        <v>6.3</v>
      </c>
      <c r="F89" s="7">
        <v>5</v>
      </c>
      <c r="G89" s="5">
        <v>1.2698412698412698</v>
      </c>
      <c r="H89" s="5" t="s">
        <v>46</v>
      </c>
      <c r="I89" s="6">
        <v>0.72222222222222221</v>
      </c>
      <c r="M89" s="3"/>
    </row>
    <row r="90" spans="1:13" x14ac:dyDescent="0.3">
      <c r="A90" s="4" t="s">
        <v>9</v>
      </c>
      <c r="B90" s="4" t="s">
        <v>28</v>
      </c>
      <c r="C90" s="4">
        <v>14</v>
      </c>
      <c r="D90" s="4">
        <v>14</v>
      </c>
      <c r="E90" s="4">
        <v>9.5</v>
      </c>
      <c r="F90" s="4">
        <v>3</v>
      </c>
      <c r="G90" s="5">
        <v>1.1578947368421053</v>
      </c>
      <c r="H90" s="5" t="s">
        <v>46</v>
      </c>
      <c r="I90" s="6">
        <v>1</v>
      </c>
      <c r="M90" s="3"/>
    </row>
    <row r="91" spans="1:13" x14ac:dyDescent="0.3">
      <c r="A91" s="4" t="s">
        <v>9</v>
      </c>
      <c r="B91" s="4" t="s">
        <v>29</v>
      </c>
      <c r="C91" s="4">
        <v>20</v>
      </c>
      <c r="D91" s="4">
        <v>9</v>
      </c>
      <c r="E91" s="4">
        <v>8.9</v>
      </c>
      <c r="F91" s="4">
        <v>2</v>
      </c>
      <c r="G91" s="5">
        <v>0.78651685393258419</v>
      </c>
      <c r="H91" s="5" t="s">
        <v>44</v>
      </c>
      <c r="I91" s="6">
        <v>0.45</v>
      </c>
      <c r="M91" s="3"/>
    </row>
    <row r="92" spans="1:13" x14ac:dyDescent="0.3">
      <c r="A92" s="4" t="s">
        <v>9</v>
      </c>
      <c r="B92" s="4" t="s">
        <v>30</v>
      </c>
      <c r="C92" s="4">
        <v>11</v>
      </c>
      <c r="D92" s="4">
        <v>11</v>
      </c>
      <c r="E92" s="4">
        <v>9</v>
      </c>
      <c r="F92" s="7">
        <v>4</v>
      </c>
      <c r="G92" s="5">
        <v>0.77777777777777779</v>
      </c>
      <c r="H92" s="5" t="s">
        <v>46</v>
      </c>
      <c r="I92" s="6">
        <v>1</v>
      </c>
      <c r="M92" s="3"/>
    </row>
    <row r="93" spans="1:13" x14ac:dyDescent="0.3">
      <c r="A93" s="4" t="s">
        <v>9</v>
      </c>
      <c r="B93" s="4" t="s">
        <v>31</v>
      </c>
      <c r="C93" s="4">
        <v>10</v>
      </c>
      <c r="D93" s="4">
        <v>10</v>
      </c>
      <c r="E93" s="4">
        <v>8.9</v>
      </c>
      <c r="F93" s="4">
        <v>2</v>
      </c>
      <c r="G93" s="5">
        <v>0.898876404494382</v>
      </c>
      <c r="H93" s="5" t="s">
        <v>45</v>
      </c>
      <c r="I93" s="6">
        <v>1</v>
      </c>
      <c r="M93" s="3"/>
    </row>
    <row r="94" spans="1:13" x14ac:dyDescent="0.3">
      <c r="A94" s="4" t="s">
        <v>9</v>
      </c>
      <c r="B94" s="4" t="s">
        <v>32</v>
      </c>
      <c r="C94" s="4">
        <v>12</v>
      </c>
      <c r="D94" s="4">
        <v>8</v>
      </c>
      <c r="E94" s="4">
        <v>7.2</v>
      </c>
      <c r="F94" s="7">
        <v>4</v>
      </c>
      <c r="G94" s="5">
        <v>0.55555555555555558</v>
      </c>
      <c r="H94" s="5" t="s">
        <v>46</v>
      </c>
      <c r="I94" s="6">
        <v>0.66666666666666663</v>
      </c>
      <c r="M94" s="3"/>
    </row>
    <row r="95" spans="1:13" x14ac:dyDescent="0.3">
      <c r="A95" s="4" t="s">
        <v>9</v>
      </c>
      <c r="B95" s="4" t="s">
        <v>33</v>
      </c>
      <c r="C95" s="4">
        <v>14</v>
      </c>
      <c r="D95" s="4">
        <v>11</v>
      </c>
      <c r="E95" s="4">
        <v>8.1999999999999993</v>
      </c>
      <c r="F95" s="7">
        <v>4</v>
      </c>
      <c r="G95" s="5">
        <v>0.85365853658536595</v>
      </c>
      <c r="H95" s="5" t="s">
        <v>46</v>
      </c>
      <c r="I95" s="6">
        <v>0.7857142857142857</v>
      </c>
      <c r="M95" s="3"/>
    </row>
    <row r="96" spans="1:13" x14ac:dyDescent="0.3">
      <c r="A96" s="4" t="s">
        <v>9</v>
      </c>
      <c r="B96" s="4" t="s">
        <v>34</v>
      </c>
      <c r="C96" s="4">
        <v>13</v>
      </c>
      <c r="D96" s="4">
        <v>12</v>
      </c>
      <c r="E96" s="4">
        <v>9.3000000000000007</v>
      </c>
      <c r="F96" s="4">
        <v>3</v>
      </c>
      <c r="G96" s="5">
        <v>0.96774193548387089</v>
      </c>
      <c r="H96" s="5" t="s">
        <v>46</v>
      </c>
      <c r="I96" s="6">
        <v>0.92307692307692313</v>
      </c>
      <c r="M96" s="3"/>
    </row>
    <row r="97" spans="1:13" x14ac:dyDescent="0.3">
      <c r="A97" s="4" t="s">
        <v>9</v>
      </c>
      <c r="B97" s="4" t="s">
        <v>35</v>
      </c>
      <c r="C97" s="4">
        <v>10</v>
      </c>
      <c r="D97" s="4">
        <v>9</v>
      </c>
      <c r="E97" s="4">
        <v>7.6</v>
      </c>
      <c r="F97" s="7">
        <v>5</v>
      </c>
      <c r="G97" s="5">
        <v>0.52631578947368418</v>
      </c>
      <c r="H97" s="5" t="s">
        <v>46</v>
      </c>
      <c r="I97" s="6">
        <v>0.9</v>
      </c>
      <c r="M97" s="3"/>
    </row>
    <row r="98" spans="1:13" x14ac:dyDescent="0.3">
      <c r="A98" s="4" t="s">
        <v>9</v>
      </c>
      <c r="B98" s="4" t="s">
        <v>36</v>
      </c>
      <c r="C98" s="4">
        <v>11</v>
      </c>
      <c r="D98" s="4">
        <v>10</v>
      </c>
      <c r="E98" s="4">
        <v>6.2</v>
      </c>
      <c r="F98" s="4">
        <v>2</v>
      </c>
      <c r="G98" s="5">
        <v>1.2903225806451613</v>
      </c>
      <c r="H98" s="5" t="s">
        <v>44</v>
      </c>
      <c r="I98" s="6">
        <v>0.90909090909090906</v>
      </c>
      <c r="M98" s="3"/>
    </row>
    <row r="99" spans="1:13" x14ac:dyDescent="0.3">
      <c r="A99" s="4" t="s">
        <v>9</v>
      </c>
      <c r="B99" s="4" t="s">
        <v>37</v>
      </c>
      <c r="C99" s="4">
        <v>15</v>
      </c>
      <c r="D99" s="4">
        <v>15</v>
      </c>
      <c r="E99" s="4">
        <v>7.6</v>
      </c>
      <c r="F99" s="4">
        <v>2</v>
      </c>
      <c r="G99" s="5">
        <v>1.7105263157894737</v>
      </c>
      <c r="H99" s="5" t="s">
        <v>45</v>
      </c>
      <c r="I99" s="6">
        <v>1</v>
      </c>
      <c r="M99" s="3"/>
    </row>
    <row r="100" spans="1:13" x14ac:dyDescent="0.3">
      <c r="A100" s="4" t="s">
        <v>9</v>
      </c>
      <c r="B100" s="4" t="s">
        <v>38</v>
      </c>
      <c r="C100" s="4">
        <v>18</v>
      </c>
      <c r="D100" s="4">
        <v>16</v>
      </c>
      <c r="E100" s="4">
        <v>6.1</v>
      </c>
      <c r="F100" s="4">
        <v>1</v>
      </c>
      <c r="G100" s="5">
        <v>2.459016393442623</v>
      </c>
      <c r="H100" s="5" t="s">
        <v>44</v>
      </c>
      <c r="I100" s="6">
        <v>0.88888888888888884</v>
      </c>
      <c r="M100" s="3"/>
    </row>
    <row r="101" spans="1:13" x14ac:dyDescent="0.3">
      <c r="A101" s="4" t="s">
        <v>9</v>
      </c>
      <c r="B101" s="4" t="s">
        <v>39</v>
      </c>
      <c r="C101" s="4">
        <v>13</v>
      </c>
      <c r="D101" s="4">
        <v>13</v>
      </c>
      <c r="E101" s="4">
        <v>8.3000000000000007</v>
      </c>
      <c r="F101" s="7">
        <v>5</v>
      </c>
      <c r="G101" s="5">
        <v>0.96385542168674687</v>
      </c>
      <c r="H101" s="5" t="s">
        <v>46</v>
      </c>
      <c r="I101" s="6">
        <v>1</v>
      </c>
      <c r="M101" s="3"/>
    </row>
    <row r="102" spans="1:13" x14ac:dyDescent="0.3">
      <c r="A102" s="4" t="s">
        <v>10</v>
      </c>
      <c r="B102" s="4" t="s">
        <v>15</v>
      </c>
      <c r="C102" s="4">
        <v>15</v>
      </c>
      <c r="D102" s="4">
        <v>13</v>
      </c>
      <c r="E102" s="4">
        <v>9.1999999999999993</v>
      </c>
      <c r="F102" s="7">
        <v>4</v>
      </c>
      <c r="G102" s="5">
        <v>0.97826086956521752</v>
      </c>
      <c r="H102" s="5" t="s">
        <v>46</v>
      </c>
      <c r="I102" s="6">
        <v>0.8666666666666667</v>
      </c>
      <c r="M102" s="3"/>
    </row>
    <row r="103" spans="1:13" x14ac:dyDescent="0.3">
      <c r="A103" s="4" t="s">
        <v>10</v>
      </c>
      <c r="B103" s="4" t="s">
        <v>16</v>
      </c>
      <c r="C103" s="4">
        <v>19</v>
      </c>
      <c r="D103" s="4">
        <v>17</v>
      </c>
      <c r="E103" s="4">
        <v>6.5</v>
      </c>
      <c r="F103" s="4">
        <v>2</v>
      </c>
      <c r="G103" s="5">
        <v>2.3076923076923075</v>
      </c>
      <c r="H103" s="5" t="s">
        <v>44</v>
      </c>
      <c r="I103" s="6">
        <v>0.89473684210526316</v>
      </c>
      <c r="M103" s="3"/>
    </row>
    <row r="104" spans="1:13" x14ac:dyDescent="0.3">
      <c r="A104" s="4" t="s">
        <v>10</v>
      </c>
      <c r="B104" s="4" t="s">
        <v>17</v>
      </c>
      <c r="C104" s="4">
        <v>16</v>
      </c>
      <c r="D104" s="4">
        <v>9</v>
      </c>
      <c r="E104" s="4">
        <v>7.8</v>
      </c>
      <c r="F104" s="4">
        <v>0</v>
      </c>
      <c r="G104" s="5">
        <v>1.153846153846154</v>
      </c>
      <c r="H104" s="5" t="s">
        <v>44</v>
      </c>
      <c r="I104" s="6">
        <v>0.5625</v>
      </c>
      <c r="M104" s="3"/>
    </row>
    <row r="105" spans="1:13" x14ac:dyDescent="0.3">
      <c r="A105" s="4" t="s">
        <v>10</v>
      </c>
      <c r="B105" s="4" t="s">
        <v>18</v>
      </c>
      <c r="C105" s="4">
        <v>17</v>
      </c>
      <c r="D105" s="4">
        <v>14</v>
      </c>
      <c r="E105" s="4">
        <v>7.6</v>
      </c>
      <c r="F105" s="4">
        <v>0</v>
      </c>
      <c r="G105" s="5">
        <v>1.8421052631578949</v>
      </c>
      <c r="H105" s="5" t="s">
        <v>44</v>
      </c>
      <c r="I105" s="6">
        <v>0.82352941176470584</v>
      </c>
      <c r="M105" s="3"/>
    </row>
    <row r="106" spans="1:13" x14ac:dyDescent="0.3">
      <c r="A106" s="4" t="s">
        <v>10</v>
      </c>
      <c r="B106" s="4" t="s">
        <v>19</v>
      </c>
      <c r="C106" s="4">
        <v>15</v>
      </c>
      <c r="D106" s="4">
        <v>10</v>
      </c>
      <c r="E106" s="4">
        <v>8.9</v>
      </c>
      <c r="F106" s="4">
        <v>3</v>
      </c>
      <c r="G106" s="5">
        <v>0.78651685393258419</v>
      </c>
      <c r="H106" s="5" t="s">
        <v>46</v>
      </c>
      <c r="I106" s="6">
        <v>0.66666666666666663</v>
      </c>
      <c r="M106" s="3"/>
    </row>
    <row r="107" spans="1:13" x14ac:dyDescent="0.3">
      <c r="A107" s="4" t="s">
        <v>10</v>
      </c>
      <c r="B107" s="4" t="s">
        <v>20</v>
      </c>
      <c r="C107" s="4">
        <v>10</v>
      </c>
      <c r="D107" s="4">
        <v>9</v>
      </c>
      <c r="E107" s="4">
        <v>7.9</v>
      </c>
      <c r="F107" s="4">
        <v>2</v>
      </c>
      <c r="G107" s="5">
        <v>0.88607594936708856</v>
      </c>
      <c r="H107" s="5" t="s">
        <v>44</v>
      </c>
      <c r="I107" s="6">
        <v>0.9</v>
      </c>
      <c r="M107" s="3"/>
    </row>
    <row r="108" spans="1:13" x14ac:dyDescent="0.3">
      <c r="A108" s="4" t="s">
        <v>10</v>
      </c>
      <c r="B108" s="4" t="s">
        <v>21</v>
      </c>
      <c r="C108" s="4">
        <v>18</v>
      </c>
      <c r="D108" s="4">
        <v>15</v>
      </c>
      <c r="E108" s="4">
        <v>7.6</v>
      </c>
      <c r="F108" s="7">
        <v>4</v>
      </c>
      <c r="G108" s="5">
        <v>1.4473684210526316</v>
      </c>
      <c r="H108" s="5" t="s">
        <v>46</v>
      </c>
      <c r="I108" s="6">
        <v>0.83333333333333337</v>
      </c>
      <c r="M108" s="3"/>
    </row>
    <row r="109" spans="1:13" x14ac:dyDescent="0.3">
      <c r="A109" s="4" t="s">
        <v>10</v>
      </c>
      <c r="B109" s="4" t="s">
        <v>22</v>
      </c>
      <c r="C109" s="4">
        <v>13</v>
      </c>
      <c r="D109" s="4">
        <v>8</v>
      </c>
      <c r="E109" s="4">
        <v>6.1</v>
      </c>
      <c r="F109" s="4">
        <v>2</v>
      </c>
      <c r="G109" s="5">
        <v>0.98360655737704927</v>
      </c>
      <c r="H109" s="5" t="s">
        <v>44</v>
      </c>
      <c r="I109" s="6">
        <v>0.61538461538461542</v>
      </c>
      <c r="M109" s="3"/>
    </row>
    <row r="110" spans="1:13" x14ac:dyDescent="0.3">
      <c r="A110" s="4" t="s">
        <v>10</v>
      </c>
      <c r="B110" s="4" t="s">
        <v>23</v>
      </c>
      <c r="C110" s="4">
        <v>10</v>
      </c>
      <c r="D110" s="4">
        <v>10</v>
      </c>
      <c r="E110" s="4">
        <v>8.8000000000000007</v>
      </c>
      <c r="F110" s="4">
        <v>1</v>
      </c>
      <c r="G110" s="5">
        <v>1.0227272727272727</v>
      </c>
      <c r="H110" s="5" t="s">
        <v>45</v>
      </c>
      <c r="I110" s="6">
        <v>1</v>
      </c>
      <c r="M110" s="3"/>
    </row>
    <row r="111" spans="1:13" x14ac:dyDescent="0.3">
      <c r="A111" s="4" t="s">
        <v>10</v>
      </c>
      <c r="B111" s="4" t="s">
        <v>24</v>
      </c>
      <c r="C111" s="4">
        <v>12</v>
      </c>
      <c r="D111" s="4">
        <v>12</v>
      </c>
      <c r="E111" s="4">
        <v>7</v>
      </c>
      <c r="F111" s="4">
        <v>2</v>
      </c>
      <c r="G111" s="5">
        <v>1.4285714285714286</v>
      </c>
      <c r="H111" s="5" t="s">
        <v>45</v>
      </c>
      <c r="I111" s="6">
        <v>1</v>
      </c>
      <c r="M111" s="3"/>
    </row>
    <row r="112" spans="1:13" x14ac:dyDescent="0.3">
      <c r="A112" s="4" t="s">
        <v>10</v>
      </c>
      <c r="B112" s="4" t="s">
        <v>25</v>
      </c>
      <c r="C112" s="4">
        <v>12</v>
      </c>
      <c r="D112" s="4">
        <v>12</v>
      </c>
      <c r="E112" s="4">
        <v>7.1</v>
      </c>
      <c r="F112" s="7">
        <v>4</v>
      </c>
      <c r="G112" s="5">
        <v>1.1267605633802817</v>
      </c>
      <c r="H112" s="5" t="s">
        <v>46</v>
      </c>
      <c r="I112" s="6">
        <v>1</v>
      </c>
      <c r="M112" s="3"/>
    </row>
    <row r="113" spans="1:13" x14ac:dyDescent="0.3">
      <c r="A113" s="4" t="s">
        <v>10</v>
      </c>
      <c r="B113" s="4" t="s">
        <v>26</v>
      </c>
      <c r="C113" s="4">
        <v>10</v>
      </c>
      <c r="D113" s="4">
        <v>8</v>
      </c>
      <c r="E113" s="4">
        <v>6.5</v>
      </c>
      <c r="F113" s="4">
        <v>2</v>
      </c>
      <c r="G113" s="5">
        <v>0.92307692307692313</v>
      </c>
      <c r="H113" s="5" t="s">
        <v>44</v>
      </c>
      <c r="I113" s="6">
        <v>0.8</v>
      </c>
      <c r="M113" s="3"/>
    </row>
    <row r="114" spans="1:13" x14ac:dyDescent="0.3">
      <c r="A114" s="4" t="s">
        <v>10</v>
      </c>
      <c r="B114" s="4" t="s">
        <v>27</v>
      </c>
      <c r="C114" s="4">
        <v>16</v>
      </c>
      <c r="D114" s="4">
        <v>11</v>
      </c>
      <c r="E114" s="4">
        <v>6.4</v>
      </c>
      <c r="F114" s="4">
        <v>2</v>
      </c>
      <c r="G114" s="5">
        <v>1.40625</v>
      </c>
      <c r="H114" s="5" t="s">
        <v>44</v>
      </c>
      <c r="I114" s="6">
        <v>0.6875</v>
      </c>
      <c r="M114" s="3"/>
    </row>
    <row r="115" spans="1:13" x14ac:dyDescent="0.3">
      <c r="A115" s="4" t="s">
        <v>10</v>
      </c>
      <c r="B115" s="4" t="s">
        <v>28</v>
      </c>
      <c r="C115" s="4">
        <v>17</v>
      </c>
      <c r="D115" s="4">
        <v>10</v>
      </c>
      <c r="E115" s="4">
        <v>7</v>
      </c>
      <c r="F115" s="4">
        <v>3</v>
      </c>
      <c r="G115" s="5">
        <v>1</v>
      </c>
      <c r="H115" s="5" t="s">
        <v>46</v>
      </c>
      <c r="I115" s="6">
        <v>0.58823529411764708</v>
      </c>
      <c r="M115" s="3"/>
    </row>
    <row r="116" spans="1:13" x14ac:dyDescent="0.3">
      <c r="A116" s="4" t="s">
        <v>10</v>
      </c>
      <c r="B116" s="4" t="s">
        <v>29</v>
      </c>
      <c r="C116" s="4">
        <v>17</v>
      </c>
      <c r="D116" s="4">
        <v>15</v>
      </c>
      <c r="E116" s="4">
        <v>6</v>
      </c>
      <c r="F116" s="7">
        <v>5</v>
      </c>
      <c r="G116" s="5">
        <v>1.6666666666666667</v>
      </c>
      <c r="H116" s="5" t="s">
        <v>46</v>
      </c>
      <c r="I116" s="6">
        <v>0.88235294117647056</v>
      </c>
      <c r="M116" s="3"/>
    </row>
    <row r="117" spans="1:13" x14ac:dyDescent="0.3">
      <c r="A117" s="4" t="s">
        <v>10</v>
      </c>
      <c r="B117" s="4" t="s">
        <v>30</v>
      </c>
      <c r="C117" s="4">
        <v>16</v>
      </c>
      <c r="D117" s="4">
        <v>8</v>
      </c>
      <c r="E117" s="4">
        <v>7.5</v>
      </c>
      <c r="F117" s="4">
        <v>2</v>
      </c>
      <c r="G117" s="5">
        <v>0.8</v>
      </c>
      <c r="H117" s="5" t="s">
        <v>44</v>
      </c>
      <c r="I117" s="6">
        <v>0.5</v>
      </c>
      <c r="M117" s="3"/>
    </row>
    <row r="118" spans="1:13" x14ac:dyDescent="0.3">
      <c r="A118" s="4" t="s">
        <v>10</v>
      </c>
      <c r="B118" s="4" t="s">
        <v>31</v>
      </c>
      <c r="C118" s="4">
        <v>10</v>
      </c>
      <c r="D118" s="4">
        <v>9</v>
      </c>
      <c r="E118" s="4">
        <v>8.8000000000000007</v>
      </c>
      <c r="F118" s="4">
        <v>2</v>
      </c>
      <c r="G118" s="5">
        <v>0.79545454545454541</v>
      </c>
      <c r="H118" s="5" t="s">
        <v>44</v>
      </c>
      <c r="I118" s="6">
        <v>0.9</v>
      </c>
      <c r="M118" s="3"/>
    </row>
    <row r="119" spans="1:13" x14ac:dyDescent="0.3">
      <c r="A119" s="4" t="s">
        <v>10</v>
      </c>
      <c r="B119" s="4" t="s">
        <v>32</v>
      </c>
      <c r="C119" s="4">
        <v>13</v>
      </c>
      <c r="D119" s="4">
        <v>12</v>
      </c>
      <c r="E119" s="4">
        <v>7</v>
      </c>
      <c r="F119" s="7">
        <v>4</v>
      </c>
      <c r="G119" s="5">
        <v>1.1428571428571428</v>
      </c>
      <c r="H119" s="5" t="s">
        <v>46</v>
      </c>
      <c r="I119" s="6">
        <v>0.92307692307692313</v>
      </c>
      <c r="M119" s="3"/>
    </row>
    <row r="120" spans="1:13" x14ac:dyDescent="0.3">
      <c r="A120" s="4" t="s">
        <v>10</v>
      </c>
      <c r="B120" s="4" t="s">
        <v>33</v>
      </c>
      <c r="C120" s="4">
        <v>16</v>
      </c>
      <c r="D120" s="4">
        <v>11</v>
      </c>
      <c r="E120" s="4">
        <v>7.7</v>
      </c>
      <c r="F120" s="4">
        <v>2</v>
      </c>
      <c r="G120" s="5">
        <v>1.1688311688311688</v>
      </c>
      <c r="H120" s="5" t="s">
        <v>44</v>
      </c>
      <c r="I120" s="6">
        <v>0.6875</v>
      </c>
      <c r="M120" s="3"/>
    </row>
    <row r="121" spans="1:13" x14ac:dyDescent="0.3">
      <c r="A121" s="4" t="s">
        <v>10</v>
      </c>
      <c r="B121" s="4" t="s">
        <v>34</v>
      </c>
      <c r="C121" s="4">
        <v>16</v>
      </c>
      <c r="D121" s="4">
        <v>14</v>
      </c>
      <c r="E121" s="4">
        <v>8.4</v>
      </c>
      <c r="F121" s="7">
        <v>5</v>
      </c>
      <c r="G121" s="5">
        <v>1.0714285714285714</v>
      </c>
      <c r="H121" s="5" t="s">
        <v>46</v>
      </c>
      <c r="I121" s="6">
        <v>0.875</v>
      </c>
      <c r="M121" s="3"/>
    </row>
    <row r="122" spans="1:13" x14ac:dyDescent="0.3">
      <c r="A122" s="4" t="s">
        <v>10</v>
      </c>
      <c r="B122" s="4" t="s">
        <v>35</v>
      </c>
      <c r="C122" s="4">
        <v>11</v>
      </c>
      <c r="D122" s="4">
        <v>10</v>
      </c>
      <c r="E122" s="4">
        <v>9.1</v>
      </c>
      <c r="F122" s="4">
        <v>1</v>
      </c>
      <c r="G122" s="5">
        <v>0.98901098901098905</v>
      </c>
      <c r="H122" s="5" t="s">
        <v>44</v>
      </c>
      <c r="I122" s="6">
        <v>0.90909090909090906</v>
      </c>
      <c r="M122" s="3"/>
    </row>
    <row r="123" spans="1:13" x14ac:dyDescent="0.3">
      <c r="A123" s="4" t="s">
        <v>10</v>
      </c>
      <c r="B123" s="4" t="s">
        <v>36</v>
      </c>
      <c r="C123" s="4">
        <v>18</v>
      </c>
      <c r="D123" s="4">
        <v>13</v>
      </c>
      <c r="E123" s="4">
        <v>6.1</v>
      </c>
      <c r="F123" s="4">
        <v>0</v>
      </c>
      <c r="G123" s="5">
        <v>2.1311475409836067</v>
      </c>
      <c r="H123" s="5" t="s">
        <v>44</v>
      </c>
      <c r="I123" s="6">
        <v>0.72222222222222221</v>
      </c>
      <c r="M123" s="3"/>
    </row>
    <row r="124" spans="1:13" x14ac:dyDescent="0.3">
      <c r="A124" s="4" t="s">
        <v>10</v>
      </c>
      <c r="B124" s="4" t="s">
        <v>37</v>
      </c>
      <c r="C124" s="4">
        <v>17</v>
      </c>
      <c r="D124" s="4">
        <v>11</v>
      </c>
      <c r="E124" s="4">
        <v>6.6</v>
      </c>
      <c r="F124" s="7">
        <v>5</v>
      </c>
      <c r="G124" s="5">
        <v>0.90909090909090917</v>
      </c>
      <c r="H124" s="5" t="s">
        <v>46</v>
      </c>
      <c r="I124" s="6">
        <v>0.6470588235294118</v>
      </c>
      <c r="M124" s="3"/>
    </row>
    <row r="125" spans="1:13" x14ac:dyDescent="0.3">
      <c r="A125" s="4" t="s">
        <v>10</v>
      </c>
      <c r="B125" s="4" t="s">
        <v>38</v>
      </c>
      <c r="C125" s="4">
        <v>17</v>
      </c>
      <c r="D125" s="4">
        <v>10</v>
      </c>
      <c r="E125" s="4">
        <v>6.1</v>
      </c>
      <c r="F125" s="4">
        <v>2</v>
      </c>
      <c r="G125" s="5">
        <v>1.3114754098360657</v>
      </c>
      <c r="H125" s="5" t="s">
        <v>44</v>
      </c>
      <c r="I125" s="6">
        <v>0.58823529411764708</v>
      </c>
      <c r="M125" s="3"/>
    </row>
    <row r="126" spans="1:13" x14ac:dyDescent="0.3">
      <c r="A126" s="4" t="s">
        <v>10</v>
      </c>
      <c r="B126" s="4" t="s">
        <v>39</v>
      </c>
      <c r="C126" s="4">
        <v>10</v>
      </c>
      <c r="D126" s="4">
        <v>8</v>
      </c>
      <c r="E126" s="4">
        <v>9.1</v>
      </c>
      <c r="F126" s="4">
        <v>3</v>
      </c>
      <c r="G126" s="5">
        <v>0.5494505494505495</v>
      </c>
      <c r="H126" s="5" t="s">
        <v>46</v>
      </c>
      <c r="I126" s="6">
        <v>0.8</v>
      </c>
      <c r="M126" s="3"/>
    </row>
    <row r="127" spans="1:13" x14ac:dyDescent="0.3">
      <c r="A127" s="4" t="s">
        <v>11</v>
      </c>
      <c r="B127" s="4" t="s">
        <v>15</v>
      </c>
      <c r="C127" s="4">
        <v>16</v>
      </c>
      <c r="D127" s="4">
        <v>11</v>
      </c>
      <c r="E127" s="4">
        <v>8.9</v>
      </c>
      <c r="F127" s="4">
        <v>2</v>
      </c>
      <c r="G127" s="5">
        <v>1.0112359550561798</v>
      </c>
      <c r="H127" s="5" t="s">
        <v>44</v>
      </c>
      <c r="I127" s="6">
        <v>0.6875</v>
      </c>
      <c r="M127" s="3"/>
    </row>
    <row r="128" spans="1:13" x14ac:dyDescent="0.3">
      <c r="A128" s="4" t="s">
        <v>11</v>
      </c>
      <c r="B128" s="4" t="s">
        <v>16</v>
      </c>
      <c r="C128" s="4">
        <v>11</v>
      </c>
      <c r="D128" s="4">
        <v>8</v>
      </c>
      <c r="E128" s="4">
        <v>6.7</v>
      </c>
      <c r="F128" s="4">
        <v>0</v>
      </c>
      <c r="G128" s="5">
        <v>1.1940298507462686</v>
      </c>
      <c r="H128" s="5" t="s">
        <v>44</v>
      </c>
      <c r="I128" s="6">
        <v>0.72727272727272729</v>
      </c>
      <c r="M128" s="3"/>
    </row>
    <row r="129" spans="1:13" x14ac:dyDescent="0.3">
      <c r="A129" s="4" t="s">
        <v>11</v>
      </c>
      <c r="B129" s="4" t="s">
        <v>17</v>
      </c>
      <c r="C129" s="4">
        <v>13</v>
      </c>
      <c r="D129" s="4">
        <v>11</v>
      </c>
      <c r="E129" s="4">
        <v>7</v>
      </c>
      <c r="F129" s="4">
        <v>2</v>
      </c>
      <c r="G129" s="5">
        <v>1.2857142857142858</v>
      </c>
      <c r="H129" s="5" t="s">
        <v>44</v>
      </c>
      <c r="I129" s="6">
        <v>0.84615384615384615</v>
      </c>
      <c r="M129" s="3"/>
    </row>
    <row r="130" spans="1:13" x14ac:dyDescent="0.3">
      <c r="A130" s="4" t="s">
        <v>11</v>
      </c>
      <c r="B130" s="4" t="s">
        <v>18</v>
      </c>
      <c r="C130" s="4">
        <v>12</v>
      </c>
      <c r="D130" s="4">
        <v>8</v>
      </c>
      <c r="E130" s="4">
        <v>7.4</v>
      </c>
      <c r="F130" s="7">
        <v>4</v>
      </c>
      <c r="G130" s="5">
        <v>0.54054054054054046</v>
      </c>
      <c r="H130" s="5" t="s">
        <v>46</v>
      </c>
      <c r="I130" s="6">
        <v>0.66666666666666663</v>
      </c>
      <c r="M130" s="3"/>
    </row>
    <row r="131" spans="1:13" x14ac:dyDescent="0.3">
      <c r="A131" s="4" t="s">
        <v>11</v>
      </c>
      <c r="B131" s="4" t="s">
        <v>19</v>
      </c>
      <c r="C131" s="4">
        <v>16</v>
      </c>
      <c r="D131" s="4">
        <v>14</v>
      </c>
      <c r="E131" s="4">
        <v>7.8</v>
      </c>
      <c r="F131" s="4">
        <v>3</v>
      </c>
      <c r="G131" s="5">
        <v>1.4102564102564104</v>
      </c>
      <c r="H131" s="5" t="s">
        <v>46</v>
      </c>
      <c r="I131" s="6">
        <v>0.875</v>
      </c>
      <c r="M131" s="3"/>
    </row>
    <row r="132" spans="1:13" x14ac:dyDescent="0.3">
      <c r="A132" s="4" t="s">
        <v>11</v>
      </c>
      <c r="B132" s="4" t="s">
        <v>20</v>
      </c>
      <c r="C132" s="4">
        <v>10</v>
      </c>
      <c r="D132" s="4">
        <v>10</v>
      </c>
      <c r="E132" s="4">
        <v>6.6</v>
      </c>
      <c r="F132" s="4">
        <v>3</v>
      </c>
      <c r="G132" s="5">
        <v>1.0606060606060606</v>
      </c>
      <c r="H132" s="5" t="s">
        <v>46</v>
      </c>
      <c r="I132" s="6">
        <v>1</v>
      </c>
      <c r="M132" s="3"/>
    </row>
    <row r="133" spans="1:13" x14ac:dyDescent="0.3">
      <c r="A133" s="4" t="s">
        <v>11</v>
      </c>
      <c r="B133" s="4" t="s">
        <v>21</v>
      </c>
      <c r="C133" s="4">
        <v>16</v>
      </c>
      <c r="D133" s="4">
        <v>16</v>
      </c>
      <c r="E133" s="4">
        <v>9.3000000000000007</v>
      </c>
      <c r="F133" s="4">
        <v>2</v>
      </c>
      <c r="G133" s="5">
        <v>1.5053763440860215</v>
      </c>
      <c r="H133" s="5" t="s">
        <v>45</v>
      </c>
      <c r="I133" s="6">
        <v>1</v>
      </c>
      <c r="M133" s="3"/>
    </row>
    <row r="134" spans="1:13" x14ac:dyDescent="0.3">
      <c r="A134" s="4" t="s">
        <v>11</v>
      </c>
      <c r="B134" s="4" t="s">
        <v>22</v>
      </c>
      <c r="C134" s="4">
        <v>20</v>
      </c>
      <c r="D134" s="4">
        <v>16</v>
      </c>
      <c r="E134" s="4">
        <v>7.7</v>
      </c>
      <c r="F134" s="7">
        <v>5</v>
      </c>
      <c r="G134" s="5">
        <v>1.4285714285714286</v>
      </c>
      <c r="H134" s="5" t="s">
        <v>46</v>
      </c>
      <c r="I134" s="6">
        <v>0.8</v>
      </c>
      <c r="M134" s="3"/>
    </row>
    <row r="135" spans="1:13" x14ac:dyDescent="0.3">
      <c r="A135" s="4" t="s">
        <v>11</v>
      </c>
      <c r="B135" s="4" t="s">
        <v>23</v>
      </c>
      <c r="C135" s="4">
        <v>10</v>
      </c>
      <c r="D135" s="4">
        <v>9</v>
      </c>
      <c r="E135" s="4">
        <v>7.5</v>
      </c>
      <c r="F135" s="4">
        <v>2</v>
      </c>
      <c r="G135" s="5">
        <v>0.93333333333333335</v>
      </c>
      <c r="H135" s="5" t="s">
        <v>44</v>
      </c>
      <c r="I135" s="6">
        <v>0.9</v>
      </c>
      <c r="M135" s="3"/>
    </row>
    <row r="136" spans="1:13" x14ac:dyDescent="0.3">
      <c r="A136" s="4" t="s">
        <v>11</v>
      </c>
      <c r="B136" s="4" t="s">
        <v>24</v>
      </c>
      <c r="C136" s="4">
        <v>16</v>
      </c>
      <c r="D136" s="4">
        <v>10</v>
      </c>
      <c r="E136" s="4">
        <v>8.8000000000000007</v>
      </c>
      <c r="F136" s="4">
        <v>0</v>
      </c>
      <c r="G136" s="5">
        <v>1.1363636363636362</v>
      </c>
      <c r="H136" s="5" t="s">
        <v>44</v>
      </c>
      <c r="I136" s="6">
        <v>0.625</v>
      </c>
      <c r="M136" s="3"/>
    </row>
    <row r="137" spans="1:13" x14ac:dyDescent="0.3">
      <c r="A137" s="4" t="s">
        <v>11</v>
      </c>
      <c r="B137" s="4" t="s">
        <v>25</v>
      </c>
      <c r="C137" s="4">
        <v>19</v>
      </c>
      <c r="D137" s="4">
        <v>18</v>
      </c>
      <c r="E137" s="4">
        <v>6.4</v>
      </c>
      <c r="F137" s="4">
        <v>0</v>
      </c>
      <c r="G137" s="5">
        <v>2.8125</v>
      </c>
      <c r="H137" s="5" t="s">
        <v>44</v>
      </c>
      <c r="I137" s="6">
        <v>0.94736842105263153</v>
      </c>
      <c r="M137" s="3"/>
    </row>
    <row r="138" spans="1:13" x14ac:dyDescent="0.3">
      <c r="A138" s="4" t="s">
        <v>11</v>
      </c>
      <c r="B138" s="4" t="s">
        <v>26</v>
      </c>
      <c r="C138" s="4">
        <v>15</v>
      </c>
      <c r="D138" s="4">
        <v>11</v>
      </c>
      <c r="E138" s="4">
        <v>7.9</v>
      </c>
      <c r="F138" s="4">
        <v>3</v>
      </c>
      <c r="G138" s="5">
        <v>1.0126582278481011</v>
      </c>
      <c r="H138" s="5" t="s">
        <v>46</v>
      </c>
      <c r="I138" s="6">
        <v>0.73333333333333328</v>
      </c>
      <c r="M138" s="3"/>
    </row>
    <row r="139" spans="1:13" x14ac:dyDescent="0.3">
      <c r="A139" s="4" t="s">
        <v>11</v>
      </c>
      <c r="B139" s="4" t="s">
        <v>27</v>
      </c>
      <c r="C139" s="4">
        <v>12</v>
      </c>
      <c r="D139" s="4">
        <v>10</v>
      </c>
      <c r="E139" s="4">
        <v>7.4</v>
      </c>
      <c r="F139" s="4">
        <v>1</v>
      </c>
      <c r="G139" s="5">
        <v>1.2162162162162162</v>
      </c>
      <c r="H139" s="5" t="s">
        <v>44</v>
      </c>
      <c r="I139" s="6">
        <v>0.83333333333333337</v>
      </c>
      <c r="M139" s="3"/>
    </row>
    <row r="140" spans="1:13" x14ac:dyDescent="0.3">
      <c r="A140" s="4" t="s">
        <v>11</v>
      </c>
      <c r="B140" s="4" t="s">
        <v>28</v>
      </c>
      <c r="C140" s="4">
        <v>10</v>
      </c>
      <c r="D140" s="4">
        <v>8</v>
      </c>
      <c r="E140" s="4">
        <v>8.6999999999999993</v>
      </c>
      <c r="F140" s="4">
        <v>0</v>
      </c>
      <c r="G140" s="5">
        <v>0.91954022988505757</v>
      </c>
      <c r="H140" s="5" t="s">
        <v>44</v>
      </c>
      <c r="I140" s="6">
        <v>0.8</v>
      </c>
      <c r="M140" s="3"/>
    </row>
    <row r="141" spans="1:13" x14ac:dyDescent="0.3">
      <c r="A141" s="4" t="s">
        <v>11</v>
      </c>
      <c r="B141" s="4" t="s">
        <v>29</v>
      </c>
      <c r="C141" s="4">
        <v>15</v>
      </c>
      <c r="D141" s="4">
        <v>9</v>
      </c>
      <c r="E141" s="4">
        <v>7.2</v>
      </c>
      <c r="F141" s="7">
        <v>5</v>
      </c>
      <c r="G141" s="5">
        <v>0.55555555555555558</v>
      </c>
      <c r="H141" s="5" t="s">
        <v>46</v>
      </c>
      <c r="I141" s="6">
        <v>0.6</v>
      </c>
      <c r="M141" s="3"/>
    </row>
    <row r="142" spans="1:13" x14ac:dyDescent="0.3">
      <c r="A142" s="4" t="s">
        <v>11</v>
      </c>
      <c r="B142" s="4" t="s">
        <v>30</v>
      </c>
      <c r="C142" s="4">
        <v>17</v>
      </c>
      <c r="D142" s="4">
        <v>16</v>
      </c>
      <c r="E142" s="4">
        <v>6.6</v>
      </c>
      <c r="F142" s="7">
        <v>4</v>
      </c>
      <c r="G142" s="5">
        <v>1.8181818181818183</v>
      </c>
      <c r="H142" s="5" t="s">
        <v>46</v>
      </c>
      <c r="I142" s="6">
        <v>0.94117647058823528</v>
      </c>
      <c r="M142" s="3"/>
    </row>
    <row r="143" spans="1:13" x14ac:dyDescent="0.3">
      <c r="A143" s="4" t="s">
        <v>11</v>
      </c>
      <c r="B143" s="4" t="s">
        <v>31</v>
      </c>
      <c r="C143" s="4">
        <v>16</v>
      </c>
      <c r="D143" s="4">
        <v>14</v>
      </c>
      <c r="E143" s="4">
        <v>6.7</v>
      </c>
      <c r="F143" s="4">
        <v>2</v>
      </c>
      <c r="G143" s="5">
        <v>1.791044776119403</v>
      </c>
      <c r="H143" s="5" t="s">
        <v>44</v>
      </c>
      <c r="I143" s="6">
        <v>0.875</v>
      </c>
      <c r="M143" s="3"/>
    </row>
    <row r="144" spans="1:13" x14ac:dyDescent="0.3">
      <c r="A144" s="4" t="s">
        <v>11</v>
      </c>
      <c r="B144" s="4" t="s">
        <v>32</v>
      </c>
      <c r="C144" s="4">
        <v>13</v>
      </c>
      <c r="D144" s="4">
        <v>12</v>
      </c>
      <c r="E144" s="4">
        <v>8.1999999999999993</v>
      </c>
      <c r="F144" s="7">
        <v>4</v>
      </c>
      <c r="G144" s="5">
        <v>0.97560975609756106</v>
      </c>
      <c r="H144" s="5" t="s">
        <v>46</v>
      </c>
      <c r="I144" s="6">
        <v>0.92307692307692313</v>
      </c>
      <c r="M144" s="3"/>
    </row>
    <row r="145" spans="1:13" x14ac:dyDescent="0.3">
      <c r="A145" s="4" t="s">
        <v>11</v>
      </c>
      <c r="B145" s="4" t="s">
        <v>33</v>
      </c>
      <c r="C145" s="4">
        <v>10</v>
      </c>
      <c r="D145" s="4">
        <v>9</v>
      </c>
      <c r="E145" s="4">
        <v>6.3</v>
      </c>
      <c r="F145" s="4">
        <v>0</v>
      </c>
      <c r="G145" s="5">
        <v>1.4285714285714286</v>
      </c>
      <c r="H145" s="5" t="s">
        <v>44</v>
      </c>
      <c r="I145" s="6">
        <v>0.9</v>
      </c>
      <c r="M145" s="3"/>
    </row>
    <row r="146" spans="1:13" x14ac:dyDescent="0.3">
      <c r="A146" s="4" t="s">
        <v>11</v>
      </c>
      <c r="B146" s="4" t="s">
        <v>34</v>
      </c>
      <c r="C146" s="4">
        <v>14</v>
      </c>
      <c r="D146" s="4">
        <v>12</v>
      </c>
      <c r="E146" s="4">
        <v>6.1</v>
      </c>
      <c r="F146" s="4">
        <v>2</v>
      </c>
      <c r="G146" s="5">
        <v>1.639344262295082</v>
      </c>
      <c r="H146" s="5" t="s">
        <v>44</v>
      </c>
      <c r="I146" s="6">
        <v>0.8571428571428571</v>
      </c>
      <c r="M146" s="3"/>
    </row>
    <row r="147" spans="1:13" x14ac:dyDescent="0.3">
      <c r="A147" s="4" t="s">
        <v>11</v>
      </c>
      <c r="B147" s="4" t="s">
        <v>35</v>
      </c>
      <c r="C147" s="4">
        <v>10</v>
      </c>
      <c r="D147" s="4">
        <v>8</v>
      </c>
      <c r="E147" s="4">
        <v>6.3</v>
      </c>
      <c r="F147" s="4">
        <v>0</v>
      </c>
      <c r="G147" s="5">
        <v>1.2698412698412698</v>
      </c>
      <c r="H147" s="5" t="s">
        <v>44</v>
      </c>
      <c r="I147" s="6">
        <v>0.8</v>
      </c>
      <c r="M147" s="3"/>
    </row>
    <row r="148" spans="1:13" x14ac:dyDescent="0.3">
      <c r="A148" s="4" t="s">
        <v>11</v>
      </c>
      <c r="B148" s="4" t="s">
        <v>36</v>
      </c>
      <c r="C148" s="4">
        <v>12</v>
      </c>
      <c r="D148" s="4">
        <v>11</v>
      </c>
      <c r="E148" s="4">
        <v>7.6</v>
      </c>
      <c r="F148" s="4">
        <v>0</v>
      </c>
      <c r="G148" s="5">
        <v>1.4473684210526316</v>
      </c>
      <c r="H148" s="5" t="s">
        <v>44</v>
      </c>
      <c r="I148" s="6">
        <v>0.91666666666666663</v>
      </c>
      <c r="M148" s="3"/>
    </row>
    <row r="149" spans="1:13" x14ac:dyDescent="0.3">
      <c r="A149" s="4" t="s">
        <v>11</v>
      </c>
      <c r="B149" s="4" t="s">
        <v>37</v>
      </c>
      <c r="C149" s="4">
        <v>19</v>
      </c>
      <c r="D149" s="4">
        <v>12</v>
      </c>
      <c r="E149" s="4">
        <v>6.8</v>
      </c>
      <c r="F149" s="7">
        <v>4</v>
      </c>
      <c r="G149" s="5">
        <v>1.1764705882352942</v>
      </c>
      <c r="H149" s="5" t="s">
        <v>46</v>
      </c>
      <c r="I149" s="6">
        <v>0.63157894736842102</v>
      </c>
      <c r="M149" s="3"/>
    </row>
    <row r="150" spans="1:13" x14ac:dyDescent="0.3">
      <c r="A150" s="4" t="s">
        <v>11</v>
      </c>
      <c r="B150" s="4" t="s">
        <v>38</v>
      </c>
      <c r="C150" s="4">
        <v>10</v>
      </c>
      <c r="D150" s="4">
        <v>9</v>
      </c>
      <c r="E150" s="4">
        <v>8.1</v>
      </c>
      <c r="F150" s="4">
        <v>2</v>
      </c>
      <c r="G150" s="5">
        <v>0.86419753086419759</v>
      </c>
      <c r="H150" s="5" t="s">
        <v>44</v>
      </c>
      <c r="I150" s="6">
        <v>0.9</v>
      </c>
      <c r="M150" s="3"/>
    </row>
    <row r="151" spans="1:13" x14ac:dyDescent="0.3">
      <c r="A151" s="4" t="s">
        <v>11</v>
      </c>
      <c r="B151" s="4" t="s">
        <v>39</v>
      </c>
      <c r="C151" s="4">
        <v>19</v>
      </c>
      <c r="D151" s="4">
        <v>15</v>
      </c>
      <c r="E151" s="4">
        <v>7</v>
      </c>
      <c r="F151" s="7">
        <v>4</v>
      </c>
      <c r="G151" s="5">
        <v>1.5714285714285714</v>
      </c>
      <c r="H151" s="5" t="s">
        <v>46</v>
      </c>
      <c r="I151" s="6">
        <v>0.78947368421052633</v>
      </c>
      <c r="M151" s="3"/>
    </row>
    <row r="152" spans="1:13" x14ac:dyDescent="0.3">
      <c r="A152" s="4" t="s">
        <v>12</v>
      </c>
      <c r="B152" s="4" t="s">
        <v>15</v>
      </c>
      <c r="C152" s="4">
        <v>12</v>
      </c>
      <c r="D152" s="4">
        <v>11</v>
      </c>
      <c r="E152" s="4">
        <v>8.4</v>
      </c>
      <c r="F152" s="4">
        <v>0</v>
      </c>
      <c r="G152" s="5">
        <v>1.3095238095238095</v>
      </c>
      <c r="H152" s="5" t="s">
        <v>44</v>
      </c>
      <c r="I152" s="6">
        <v>0.91666666666666663</v>
      </c>
      <c r="M152" s="3"/>
    </row>
    <row r="153" spans="1:13" x14ac:dyDescent="0.3">
      <c r="A153" s="4" t="s">
        <v>12</v>
      </c>
      <c r="B153" s="4" t="s">
        <v>16</v>
      </c>
      <c r="C153" s="4">
        <v>13</v>
      </c>
      <c r="D153" s="4">
        <v>9</v>
      </c>
      <c r="E153" s="4">
        <v>7.8</v>
      </c>
      <c r="F153" s="7">
        <v>5</v>
      </c>
      <c r="G153" s="5">
        <v>0.51282051282051289</v>
      </c>
      <c r="H153" s="5" t="s">
        <v>46</v>
      </c>
      <c r="I153" s="6">
        <v>0.69230769230769229</v>
      </c>
      <c r="M153" s="3"/>
    </row>
    <row r="154" spans="1:13" x14ac:dyDescent="0.3">
      <c r="A154" s="4" t="s">
        <v>12</v>
      </c>
      <c r="B154" s="4" t="s">
        <v>17</v>
      </c>
      <c r="C154" s="4">
        <v>13</v>
      </c>
      <c r="D154" s="4">
        <v>9</v>
      </c>
      <c r="E154" s="4">
        <v>7.1</v>
      </c>
      <c r="F154" s="7">
        <v>4</v>
      </c>
      <c r="G154" s="5">
        <v>0.70422535211267612</v>
      </c>
      <c r="H154" s="5" t="s">
        <v>46</v>
      </c>
      <c r="I154" s="6">
        <v>0.69230769230769229</v>
      </c>
      <c r="M154" s="3"/>
    </row>
    <row r="155" spans="1:13" x14ac:dyDescent="0.3">
      <c r="A155" s="4" t="s">
        <v>12</v>
      </c>
      <c r="B155" s="4" t="s">
        <v>18</v>
      </c>
      <c r="C155" s="4">
        <v>11</v>
      </c>
      <c r="D155" s="4">
        <v>10</v>
      </c>
      <c r="E155" s="4">
        <v>9</v>
      </c>
      <c r="F155" s="4">
        <v>2</v>
      </c>
      <c r="G155" s="5">
        <v>0.88888888888888884</v>
      </c>
      <c r="H155" s="5" t="s">
        <v>44</v>
      </c>
      <c r="I155" s="6">
        <v>0.90909090909090906</v>
      </c>
      <c r="M155" s="3"/>
    </row>
    <row r="156" spans="1:13" x14ac:dyDescent="0.3">
      <c r="A156" s="4" t="s">
        <v>12</v>
      </c>
      <c r="B156" s="4" t="s">
        <v>19</v>
      </c>
      <c r="C156" s="4">
        <v>10</v>
      </c>
      <c r="D156" s="4">
        <v>8</v>
      </c>
      <c r="E156" s="4">
        <v>7.8</v>
      </c>
      <c r="F156" s="4">
        <v>1</v>
      </c>
      <c r="G156" s="5">
        <v>0.89743589743589747</v>
      </c>
      <c r="H156" s="5" t="s">
        <v>44</v>
      </c>
      <c r="I156" s="6">
        <v>0.8</v>
      </c>
      <c r="M156" s="3"/>
    </row>
    <row r="157" spans="1:13" x14ac:dyDescent="0.3">
      <c r="A157" s="4" t="s">
        <v>12</v>
      </c>
      <c r="B157" s="4" t="s">
        <v>20</v>
      </c>
      <c r="C157" s="4">
        <v>18</v>
      </c>
      <c r="D157" s="4">
        <v>18</v>
      </c>
      <c r="E157" s="4">
        <v>8.5</v>
      </c>
      <c r="F157" s="4">
        <v>1</v>
      </c>
      <c r="G157" s="5">
        <v>2</v>
      </c>
      <c r="H157" s="5" t="s">
        <v>45</v>
      </c>
      <c r="I157" s="6">
        <v>1</v>
      </c>
      <c r="M157" s="3"/>
    </row>
    <row r="158" spans="1:13" x14ac:dyDescent="0.3">
      <c r="A158" s="4" t="s">
        <v>12</v>
      </c>
      <c r="B158" s="4" t="s">
        <v>21</v>
      </c>
      <c r="C158" s="4">
        <v>17</v>
      </c>
      <c r="D158" s="4">
        <v>10</v>
      </c>
      <c r="E158" s="4">
        <v>8.5</v>
      </c>
      <c r="F158" s="4">
        <v>1</v>
      </c>
      <c r="G158" s="5">
        <v>1.0588235294117647</v>
      </c>
      <c r="H158" s="5" t="s">
        <v>44</v>
      </c>
      <c r="I158" s="6">
        <v>0.58823529411764708</v>
      </c>
      <c r="M158" s="3"/>
    </row>
    <row r="159" spans="1:13" x14ac:dyDescent="0.3">
      <c r="A159" s="4" t="s">
        <v>12</v>
      </c>
      <c r="B159" s="4" t="s">
        <v>22</v>
      </c>
      <c r="C159" s="4">
        <v>15</v>
      </c>
      <c r="D159" s="4">
        <v>13</v>
      </c>
      <c r="E159" s="4">
        <v>6.7</v>
      </c>
      <c r="F159" s="7">
        <v>5</v>
      </c>
      <c r="G159" s="5">
        <v>1.1940298507462686</v>
      </c>
      <c r="H159" s="5" t="s">
        <v>46</v>
      </c>
      <c r="I159" s="6">
        <v>0.8666666666666667</v>
      </c>
      <c r="M159" s="3"/>
    </row>
    <row r="160" spans="1:13" x14ac:dyDescent="0.3">
      <c r="A160" s="4" t="s">
        <v>12</v>
      </c>
      <c r="B160" s="4" t="s">
        <v>23</v>
      </c>
      <c r="C160" s="4">
        <v>14</v>
      </c>
      <c r="D160" s="4">
        <v>11</v>
      </c>
      <c r="E160" s="4">
        <v>6.4</v>
      </c>
      <c r="F160" s="4">
        <v>2</v>
      </c>
      <c r="G160" s="5">
        <v>1.40625</v>
      </c>
      <c r="H160" s="5" t="s">
        <v>44</v>
      </c>
      <c r="I160" s="6">
        <v>0.7857142857142857</v>
      </c>
      <c r="M160" s="3"/>
    </row>
    <row r="161" spans="1:13" x14ac:dyDescent="0.3">
      <c r="A161" s="4" t="s">
        <v>12</v>
      </c>
      <c r="B161" s="4" t="s">
        <v>24</v>
      </c>
      <c r="C161" s="4">
        <v>12</v>
      </c>
      <c r="D161" s="4">
        <v>8</v>
      </c>
      <c r="E161" s="4">
        <v>8</v>
      </c>
      <c r="F161" s="4">
        <v>2</v>
      </c>
      <c r="G161" s="5">
        <v>0.75</v>
      </c>
      <c r="H161" s="5" t="s">
        <v>44</v>
      </c>
      <c r="I161" s="6">
        <v>0.66666666666666663</v>
      </c>
      <c r="M161" s="3"/>
    </row>
    <row r="162" spans="1:13" x14ac:dyDescent="0.3">
      <c r="A162" s="4" t="s">
        <v>12</v>
      </c>
      <c r="B162" s="4" t="s">
        <v>25</v>
      </c>
      <c r="C162" s="4">
        <v>20</v>
      </c>
      <c r="D162" s="4">
        <v>11</v>
      </c>
      <c r="E162" s="4">
        <v>8</v>
      </c>
      <c r="F162" s="4">
        <v>1</v>
      </c>
      <c r="G162" s="5">
        <v>1.25</v>
      </c>
      <c r="H162" s="5" t="s">
        <v>44</v>
      </c>
      <c r="I162" s="6">
        <v>0.55000000000000004</v>
      </c>
      <c r="M162" s="3"/>
    </row>
    <row r="163" spans="1:13" x14ac:dyDescent="0.3">
      <c r="A163" s="4" t="s">
        <v>12</v>
      </c>
      <c r="B163" s="4" t="s">
        <v>26</v>
      </c>
      <c r="C163" s="4">
        <v>18</v>
      </c>
      <c r="D163" s="4">
        <v>14</v>
      </c>
      <c r="E163" s="4">
        <v>6.3</v>
      </c>
      <c r="F163" s="4">
        <v>2</v>
      </c>
      <c r="G163" s="5">
        <v>1.9047619047619049</v>
      </c>
      <c r="H163" s="5" t="s">
        <v>44</v>
      </c>
      <c r="I163" s="6">
        <v>0.77777777777777779</v>
      </c>
      <c r="M163" s="3"/>
    </row>
    <row r="164" spans="1:13" x14ac:dyDescent="0.3">
      <c r="A164" s="4" t="s">
        <v>12</v>
      </c>
      <c r="B164" s="4" t="s">
        <v>27</v>
      </c>
      <c r="C164" s="4">
        <v>13</v>
      </c>
      <c r="D164" s="4">
        <v>12</v>
      </c>
      <c r="E164" s="4">
        <v>8.8000000000000007</v>
      </c>
      <c r="F164" s="7">
        <v>4</v>
      </c>
      <c r="G164" s="5">
        <v>0.90909090909090906</v>
      </c>
      <c r="H164" s="5" t="s">
        <v>46</v>
      </c>
      <c r="I164" s="6">
        <v>0.92307692307692313</v>
      </c>
      <c r="M164" s="3"/>
    </row>
    <row r="165" spans="1:13" x14ac:dyDescent="0.3">
      <c r="A165" s="4" t="s">
        <v>12</v>
      </c>
      <c r="B165" s="4" t="s">
        <v>28</v>
      </c>
      <c r="C165" s="4">
        <v>17</v>
      </c>
      <c r="D165" s="4">
        <v>9</v>
      </c>
      <c r="E165" s="4">
        <v>6.9</v>
      </c>
      <c r="F165" s="4">
        <v>3</v>
      </c>
      <c r="G165" s="5">
        <v>0.86956521739130432</v>
      </c>
      <c r="H165" s="5" t="s">
        <v>46</v>
      </c>
      <c r="I165" s="6">
        <v>0.52941176470588236</v>
      </c>
      <c r="M165" s="3"/>
    </row>
    <row r="166" spans="1:13" x14ac:dyDescent="0.3">
      <c r="A166" s="4" t="s">
        <v>12</v>
      </c>
      <c r="B166" s="4" t="s">
        <v>29</v>
      </c>
      <c r="C166" s="4">
        <v>18</v>
      </c>
      <c r="D166" s="4">
        <v>17</v>
      </c>
      <c r="E166" s="4">
        <v>9.1999999999999993</v>
      </c>
      <c r="F166" s="4">
        <v>0</v>
      </c>
      <c r="G166" s="5">
        <v>1.847826086956522</v>
      </c>
      <c r="H166" s="5" t="s">
        <v>44</v>
      </c>
      <c r="I166" s="6">
        <v>0.94444444444444442</v>
      </c>
      <c r="M166" s="3"/>
    </row>
    <row r="167" spans="1:13" x14ac:dyDescent="0.3">
      <c r="A167" s="4" t="s">
        <v>12</v>
      </c>
      <c r="B167" s="4" t="s">
        <v>30</v>
      </c>
      <c r="C167" s="4">
        <v>15</v>
      </c>
      <c r="D167" s="4">
        <v>14</v>
      </c>
      <c r="E167" s="4">
        <v>8.6</v>
      </c>
      <c r="F167" s="4">
        <v>0</v>
      </c>
      <c r="G167" s="5">
        <v>1.6279069767441861</v>
      </c>
      <c r="H167" s="5" t="s">
        <v>44</v>
      </c>
      <c r="I167" s="6">
        <v>0.93333333333333335</v>
      </c>
      <c r="M167" s="3"/>
    </row>
    <row r="168" spans="1:13" x14ac:dyDescent="0.3">
      <c r="A168" s="4" t="s">
        <v>12</v>
      </c>
      <c r="B168" s="4" t="s">
        <v>31</v>
      </c>
      <c r="C168" s="4">
        <v>13</v>
      </c>
      <c r="D168" s="4">
        <v>13</v>
      </c>
      <c r="E168" s="4">
        <v>7.8</v>
      </c>
      <c r="F168" s="4">
        <v>0</v>
      </c>
      <c r="G168" s="5">
        <v>1.6666666666666667</v>
      </c>
      <c r="H168" s="5" t="s">
        <v>45</v>
      </c>
      <c r="I168" s="6">
        <v>1</v>
      </c>
      <c r="M168" s="3"/>
    </row>
    <row r="169" spans="1:13" x14ac:dyDescent="0.3">
      <c r="A169" s="4" t="s">
        <v>12</v>
      </c>
      <c r="B169" s="4" t="s">
        <v>32</v>
      </c>
      <c r="C169" s="4">
        <v>11</v>
      </c>
      <c r="D169" s="4">
        <v>9</v>
      </c>
      <c r="E169" s="4">
        <v>6.2</v>
      </c>
      <c r="F169" s="4">
        <v>1</v>
      </c>
      <c r="G169" s="5">
        <v>1.2903225806451613</v>
      </c>
      <c r="H169" s="5" t="s">
        <v>44</v>
      </c>
      <c r="I169" s="6">
        <v>0.81818181818181823</v>
      </c>
      <c r="M169" s="3"/>
    </row>
    <row r="170" spans="1:13" x14ac:dyDescent="0.3">
      <c r="A170" s="4" t="s">
        <v>12</v>
      </c>
      <c r="B170" s="4" t="s">
        <v>33</v>
      </c>
      <c r="C170" s="4">
        <v>18</v>
      </c>
      <c r="D170" s="4">
        <v>11</v>
      </c>
      <c r="E170" s="4">
        <v>7.6</v>
      </c>
      <c r="F170" s="7">
        <v>4</v>
      </c>
      <c r="G170" s="5">
        <v>0.92105263157894746</v>
      </c>
      <c r="H170" s="5" t="s">
        <v>46</v>
      </c>
      <c r="I170" s="6">
        <v>0.61111111111111116</v>
      </c>
      <c r="M170" s="3"/>
    </row>
    <row r="171" spans="1:13" x14ac:dyDescent="0.3">
      <c r="A171" s="4" t="s">
        <v>12</v>
      </c>
      <c r="B171" s="4" t="s">
        <v>34</v>
      </c>
      <c r="C171" s="4">
        <v>16</v>
      </c>
      <c r="D171" s="4">
        <v>14</v>
      </c>
      <c r="E171" s="4">
        <v>6.4</v>
      </c>
      <c r="F171" s="4">
        <v>0</v>
      </c>
      <c r="G171" s="5">
        <v>2.1875</v>
      </c>
      <c r="H171" s="5" t="s">
        <v>44</v>
      </c>
      <c r="I171" s="6">
        <v>0.875</v>
      </c>
      <c r="M171" s="3"/>
    </row>
    <row r="172" spans="1:13" x14ac:dyDescent="0.3">
      <c r="A172" s="4" t="s">
        <v>12</v>
      </c>
      <c r="B172" s="4" t="s">
        <v>35</v>
      </c>
      <c r="C172" s="4">
        <v>16</v>
      </c>
      <c r="D172" s="4">
        <v>9</v>
      </c>
      <c r="E172" s="4">
        <v>6</v>
      </c>
      <c r="F172" s="7">
        <v>5</v>
      </c>
      <c r="G172" s="5">
        <v>0.66666666666666663</v>
      </c>
      <c r="H172" s="5" t="s">
        <v>46</v>
      </c>
      <c r="I172" s="6">
        <v>0.5625</v>
      </c>
      <c r="M172" s="3"/>
    </row>
    <row r="173" spans="1:13" x14ac:dyDescent="0.3">
      <c r="A173" s="4" t="s">
        <v>12</v>
      </c>
      <c r="B173" s="4" t="s">
        <v>36</v>
      </c>
      <c r="C173" s="4">
        <v>10</v>
      </c>
      <c r="D173" s="4">
        <v>10</v>
      </c>
      <c r="E173" s="4">
        <v>9</v>
      </c>
      <c r="F173" s="4">
        <v>1</v>
      </c>
      <c r="G173" s="5">
        <v>1</v>
      </c>
      <c r="H173" s="5" t="s">
        <v>45</v>
      </c>
      <c r="I173" s="6">
        <v>1</v>
      </c>
      <c r="M173" s="3"/>
    </row>
    <row r="174" spans="1:13" x14ac:dyDescent="0.3">
      <c r="A174" s="4" t="s">
        <v>12</v>
      </c>
      <c r="B174" s="4" t="s">
        <v>37</v>
      </c>
      <c r="C174" s="4">
        <v>13</v>
      </c>
      <c r="D174" s="4">
        <v>10</v>
      </c>
      <c r="E174" s="4">
        <v>6.2</v>
      </c>
      <c r="F174" s="4">
        <v>3</v>
      </c>
      <c r="G174" s="5">
        <v>1.129032258064516</v>
      </c>
      <c r="H174" s="5" t="s">
        <v>46</v>
      </c>
      <c r="I174" s="6">
        <v>0.76923076923076927</v>
      </c>
      <c r="M174" s="3"/>
    </row>
    <row r="175" spans="1:13" x14ac:dyDescent="0.3">
      <c r="A175" s="4" t="s">
        <v>12</v>
      </c>
      <c r="B175" s="4" t="s">
        <v>38</v>
      </c>
      <c r="C175" s="4">
        <v>19</v>
      </c>
      <c r="D175" s="4">
        <v>15</v>
      </c>
      <c r="E175" s="4">
        <v>7.4</v>
      </c>
      <c r="F175" s="7">
        <v>5</v>
      </c>
      <c r="G175" s="5">
        <v>1.3513513513513513</v>
      </c>
      <c r="H175" s="5" t="s">
        <v>46</v>
      </c>
      <c r="I175" s="6">
        <v>0.78947368421052633</v>
      </c>
      <c r="M175" s="3"/>
    </row>
    <row r="176" spans="1:13" x14ac:dyDescent="0.3">
      <c r="A176" s="4" t="s">
        <v>12</v>
      </c>
      <c r="B176" s="4" t="s">
        <v>39</v>
      </c>
      <c r="C176" s="4">
        <v>10</v>
      </c>
      <c r="D176" s="4">
        <v>10</v>
      </c>
      <c r="E176" s="4">
        <v>6.5</v>
      </c>
      <c r="F176" s="4">
        <v>2</v>
      </c>
      <c r="G176" s="5">
        <v>1.2307692307692308</v>
      </c>
      <c r="H176" s="5" t="s">
        <v>45</v>
      </c>
      <c r="I176" s="6">
        <v>1</v>
      </c>
      <c r="M176" s="3"/>
    </row>
    <row r="177" spans="1:13" x14ac:dyDescent="0.3">
      <c r="A177" s="4" t="s">
        <v>13</v>
      </c>
      <c r="B177" s="4" t="s">
        <v>15</v>
      </c>
      <c r="C177" s="4">
        <v>15</v>
      </c>
      <c r="D177" s="4">
        <v>12</v>
      </c>
      <c r="E177" s="4">
        <v>6.1</v>
      </c>
      <c r="F177" s="4">
        <v>3</v>
      </c>
      <c r="G177" s="5">
        <v>1.4754098360655739</v>
      </c>
      <c r="H177" s="5" t="s">
        <v>46</v>
      </c>
      <c r="I177" s="6">
        <v>0.8</v>
      </c>
      <c r="M177" s="3"/>
    </row>
    <row r="178" spans="1:13" x14ac:dyDescent="0.3">
      <c r="A178" s="4" t="s">
        <v>13</v>
      </c>
      <c r="B178" s="4" t="s">
        <v>16</v>
      </c>
      <c r="C178" s="4">
        <v>18</v>
      </c>
      <c r="D178" s="4">
        <v>10</v>
      </c>
      <c r="E178" s="4">
        <v>9.3000000000000007</v>
      </c>
      <c r="F178" s="4">
        <v>3</v>
      </c>
      <c r="G178" s="5">
        <v>0.75268817204301075</v>
      </c>
      <c r="H178" s="5" t="s">
        <v>46</v>
      </c>
      <c r="I178" s="6">
        <v>0.55555555555555558</v>
      </c>
      <c r="M178" s="3"/>
    </row>
    <row r="179" spans="1:13" x14ac:dyDescent="0.3">
      <c r="A179" s="4" t="s">
        <v>13</v>
      </c>
      <c r="B179" s="4" t="s">
        <v>17</v>
      </c>
      <c r="C179" s="4">
        <v>12</v>
      </c>
      <c r="D179" s="4">
        <v>10</v>
      </c>
      <c r="E179" s="4">
        <v>7.3</v>
      </c>
      <c r="F179" s="4">
        <v>3</v>
      </c>
      <c r="G179" s="5">
        <v>0.95890410958904115</v>
      </c>
      <c r="H179" s="5" t="s">
        <v>46</v>
      </c>
      <c r="I179" s="6">
        <v>0.83333333333333337</v>
      </c>
      <c r="M179" s="3"/>
    </row>
    <row r="180" spans="1:13" x14ac:dyDescent="0.3">
      <c r="A180" s="4" t="s">
        <v>13</v>
      </c>
      <c r="B180" s="4" t="s">
        <v>18</v>
      </c>
      <c r="C180" s="4">
        <v>15</v>
      </c>
      <c r="D180" s="4">
        <v>8</v>
      </c>
      <c r="E180" s="4">
        <v>8</v>
      </c>
      <c r="F180" s="4">
        <v>3</v>
      </c>
      <c r="G180" s="5">
        <v>0.625</v>
      </c>
      <c r="H180" s="5" t="s">
        <v>46</v>
      </c>
      <c r="I180" s="6">
        <v>0.53333333333333333</v>
      </c>
      <c r="M180" s="3"/>
    </row>
    <row r="181" spans="1:13" x14ac:dyDescent="0.3">
      <c r="A181" s="4" t="s">
        <v>13</v>
      </c>
      <c r="B181" s="4" t="s">
        <v>19</v>
      </c>
      <c r="C181" s="4">
        <v>18</v>
      </c>
      <c r="D181" s="4">
        <v>13</v>
      </c>
      <c r="E181" s="4">
        <v>7.7</v>
      </c>
      <c r="F181" s="4">
        <v>2</v>
      </c>
      <c r="G181" s="5">
        <v>1.4285714285714286</v>
      </c>
      <c r="H181" s="5" t="s">
        <v>44</v>
      </c>
      <c r="I181" s="6">
        <v>0.72222222222222221</v>
      </c>
      <c r="M181" s="3"/>
    </row>
    <row r="182" spans="1:13" x14ac:dyDescent="0.3">
      <c r="A182" s="4" t="s">
        <v>13</v>
      </c>
      <c r="B182" s="4" t="s">
        <v>20</v>
      </c>
      <c r="C182" s="4">
        <v>19</v>
      </c>
      <c r="D182" s="4">
        <v>8</v>
      </c>
      <c r="E182" s="4">
        <v>8.6999999999999993</v>
      </c>
      <c r="F182" s="4">
        <v>0</v>
      </c>
      <c r="G182" s="5">
        <v>0.91954022988505757</v>
      </c>
      <c r="H182" s="5" t="s">
        <v>44</v>
      </c>
      <c r="I182" s="6">
        <v>0.42105263157894735</v>
      </c>
      <c r="M182" s="3"/>
    </row>
    <row r="183" spans="1:13" x14ac:dyDescent="0.3">
      <c r="A183" s="4" t="s">
        <v>13</v>
      </c>
      <c r="B183" s="4" t="s">
        <v>21</v>
      </c>
      <c r="C183" s="4">
        <v>16</v>
      </c>
      <c r="D183" s="4">
        <v>11</v>
      </c>
      <c r="E183" s="4">
        <v>6.8</v>
      </c>
      <c r="F183" s="4">
        <v>1</v>
      </c>
      <c r="G183" s="5">
        <v>1.4705882352941178</v>
      </c>
      <c r="H183" s="5" t="s">
        <v>44</v>
      </c>
      <c r="I183" s="6">
        <v>0.6875</v>
      </c>
      <c r="M183" s="3"/>
    </row>
    <row r="184" spans="1:13" x14ac:dyDescent="0.3">
      <c r="A184" s="4" t="s">
        <v>13</v>
      </c>
      <c r="B184" s="4" t="s">
        <v>22</v>
      </c>
      <c r="C184" s="4">
        <v>14</v>
      </c>
      <c r="D184" s="4">
        <v>14</v>
      </c>
      <c r="E184" s="4">
        <v>8.3000000000000007</v>
      </c>
      <c r="F184" s="7">
        <v>4</v>
      </c>
      <c r="G184" s="5">
        <v>1.2048192771084336</v>
      </c>
      <c r="H184" s="5" t="s">
        <v>46</v>
      </c>
      <c r="I184" s="6">
        <v>1</v>
      </c>
      <c r="M184" s="3"/>
    </row>
    <row r="185" spans="1:13" x14ac:dyDescent="0.3">
      <c r="A185" s="4" t="s">
        <v>13</v>
      </c>
      <c r="B185" s="4" t="s">
        <v>23</v>
      </c>
      <c r="C185" s="4">
        <v>20</v>
      </c>
      <c r="D185" s="4">
        <v>14</v>
      </c>
      <c r="E185" s="4">
        <v>8.9</v>
      </c>
      <c r="F185" s="7">
        <v>4</v>
      </c>
      <c r="G185" s="5">
        <v>1.1235955056179774</v>
      </c>
      <c r="H185" s="5" t="s">
        <v>46</v>
      </c>
      <c r="I185" s="6">
        <v>0.7</v>
      </c>
      <c r="M185" s="3"/>
    </row>
    <row r="186" spans="1:13" x14ac:dyDescent="0.3">
      <c r="A186" s="4" t="s">
        <v>13</v>
      </c>
      <c r="B186" s="4" t="s">
        <v>24</v>
      </c>
      <c r="C186" s="4">
        <v>20</v>
      </c>
      <c r="D186" s="4">
        <v>17</v>
      </c>
      <c r="E186" s="4">
        <v>7</v>
      </c>
      <c r="F186" s="7">
        <v>4</v>
      </c>
      <c r="G186" s="5">
        <v>1.8571428571428572</v>
      </c>
      <c r="H186" s="5" t="s">
        <v>46</v>
      </c>
      <c r="I186" s="6">
        <v>0.85</v>
      </c>
      <c r="M186" s="3"/>
    </row>
    <row r="187" spans="1:13" x14ac:dyDescent="0.3">
      <c r="A187" s="4" t="s">
        <v>13</v>
      </c>
      <c r="B187" s="4" t="s">
        <v>25</v>
      </c>
      <c r="C187" s="4">
        <v>20</v>
      </c>
      <c r="D187" s="4">
        <v>17</v>
      </c>
      <c r="E187" s="4">
        <v>9.1999999999999993</v>
      </c>
      <c r="F187" s="4">
        <v>3</v>
      </c>
      <c r="G187" s="5">
        <v>1.5217391304347827</v>
      </c>
      <c r="H187" s="5" t="s">
        <v>46</v>
      </c>
      <c r="I187" s="6">
        <v>0.85</v>
      </c>
      <c r="M187" s="3"/>
    </row>
    <row r="188" spans="1:13" x14ac:dyDescent="0.3">
      <c r="A188" s="4" t="s">
        <v>13</v>
      </c>
      <c r="B188" s="4" t="s">
        <v>26</v>
      </c>
      <c r="C188" s="4">
        <v>14</v>
      </c>
      <c r="D188" s="4">
        <v>14</v>
      </c>
      <c r="E188" s="4">
        <v>7.5</v>
      </c>
      <c r="F188" s="4">
        <v>2</v>
      </c>
      <c r="G188" s="5">
        <v>1.6</v>
      </c>
      <c r="H188" s="5" t="s">
        <v>45</v>
      </c>
      <c r="I188" s="6">
        <v>1</v>
      </c>
      <c r="M188" s="3"/>
    </row>
    <row r="189" spans="1:13" x14ac:dyDescent="0.3">
      <c r="A189" s="4" t="s">
        <v>13</v>
      </c>
      <c r="B189" s="4" t="s">
        <v>27</v>
      </c>
      <c r="C189" s="4">
        <v>16</v>
      </c>
      <c r="D189" s="4">
        <v>12</v>
      </c>
      <c r="E189" s="4">
        <v>8.3000000000000007</v>
      </c>
      <c r="F189" s="4">
        <v>3</v>
      </c>
      <c r="G189" s="5">
        <v>1.0843373493975903</v>
      </c>
      <c r="H189" s="5" t="s">
        <v>46</v>
      </c>
      <c r="I189" s="6">
        <v>0.75</v>
      </c>
      <c r="M189" s="3"/>
    </row>
    <row r="190" spans="1:13" x14ac:dyDescent="0.3">
      <c r="A190" s="4" t="s">
        <v>13</v>
      </c>
      <c r="B190" s="4" t="s">
        <v>28</v>
      </c>
      <c r="C190" s="4">
        <v>19</v>
      </c>
      <c r="D190" s="4">
        <v>15</v>
      </c>
      <c r="E190" s="4">
        <v>9.1999999999999993</v>
      </c>
      <c r="F190" s="7">
        <v>5</v>
      </c>
      <c r="G190" s="5">
        <v>1.0869565217391306</v>
      </c>
      <c r="H190" s="5" t="s">
        <v>46</v>
      </c>
      <c r="I190" s="6">
        <v>0.78947368421052633</v>
      </c>
      <c r="M190" s="3"/>
    </row>
    <row r="191" spans="1:13" x14ac:dyDescent="0.3">
      <c r="A191" s="4" t="s">
        <v>13</v>
      </c>
      <c r="B191" s="4" t="s">
        <v>29</v>
      </c>
      <c r="C191" s="4">
        <v>13</v>
      </c>
      <c r="D191" s="4">
        <v>12</v>
      </c>
      <c r="E191" s="4">
        <v>8.3000000000000007</v>
      </c>
      <c r="F191" s="4">
        <v>2</v>
      </c>
      <c r="G191" s="5">
        <v>1.2048192771084336</v>
      </c>
      <c r="H191" s="5" t="s">
        <v>44</v>
      </c>
      <c r="I191" s="6">
        <v>0.92307692307692313</v>
      </c>
      <c r="M191" s="3"/>
    </row>
    <row r="192" spans="1:13" x14ac:dyDescent="0.3">
      <c r="A192" s="4" t="s">
        <v>13</v>
      </c>
      <c r="B192" s="4" t="s">
        <v>30</v>
      </c>
      <c r="C192" s="4">
        <v>11</v>
      </c>
      <c r="D192" s="4">
        <v>10</v>
      </c>
      <c r="E192" s="4">
        <v>7.5</v>
      </c>
      <c r="F192" s="7">
        <v>5</v>
      </c>
      <c r="G192" s="5">
        <v>0.66666666666666663</v>
      </c>
      <c r="H192" s="5" t="s">
        <v>46</v>
      </c>
      <c r="I192" s="6">
        <v>0.90909090909090906</v>
      </c>
      <c r="M192" s="3"/>
    </row>
    <row r="193" spans="1:13" x14ac:dyDescent="0.3">
      <c r="A193" s="4" t="s">
        <v>13</v>
      </c>
      <c r="B193" s="4" t="s">
        <v>31</v>
      </c>
      <c r="C193" s="4">
        <v>19</v>
      </c>
      <c r="D193" s="4">
        <v>14</v>
      </c>
      <c r="E193" s="4">
        <v>8.9</v>
      </c>
      <c r="F193" s="4">
        <v>1</v>
      </c>
      <c r="G193" s="5">
        <v>1.4606741573033708</v>
      </c>
      <c r="H193" s="5" t="s">
        <v>44</v>
      </c>
      <c r="I193" s="6">
        <v>0.73684210526315785</v>
      </c>
      <c r="M193" s="3"/>
    </row>
    <row r="194" spans="1:13" x14ac:dyDescent="0.3">
      <c r="A194" s="4" t="s">
        <v>13</v>
      </c>
      <c r="B194" s="4" t="s">
        <v>32</v>
      </c>
      <c r="C194" s="4">
        <v>16</v>
      </c>
      <c r="D194" s="4">
        <v>8</v>
      </c>
      <c r="E194" s="4">
        <v>7</v>
      </c>
      <c r="F194" s="4">
        <v>3</v>
      </c>
      <c r="G194" s="5">
        <v>0.7142857142857143</v>
      </c>
      <c r="H194" s="5" t="s">
        <v>46</v>
      </c>
      <c r="I194" s="6">
        <v>0.5</v>
      </c>
      <c r="M194" s="3"/>
    </row>
    <row r="195" spans="1:13" x14ac:dyDescent="0.3">
      <c r="A195" s="4" t="s">
        <v>13</v>
      </c>
      <c r="B195" s="4" t="s">
        <v>33</v>
      </c>
      <c r="C195" s="4">
        <v>20</v>
      </c>
      <c r="D195" s="4">
        <v>16</v>
      </c>
      <c r="E195" s="4">
        <v>8.1999999999999993</v>
      </c>
      <c r="F195" s="4">
        <v>3</v>
      </c>
      <c r="G195" s="5">
        <v>1.5853658536585367</v>
      </c>
      <c r="H195" s="5" t="s">
        <v>46</v>
      </c>
      <c r="I195" s="6">
        <v>0.8</v>
      </c>
      <c r="M195" s="3"/>
    </row>
    <row r="196" spans="1:13" x14ac:dyDescent="0.3">
      <c r="A196" s="4" t="s">
        <v>13</v>
      </c>
      <c r="B196" s="4" t="s">
        <v>34</v>
      </c>
      <c r="C196" s="4">
        <v>17</v>
      </c>
      <c r="D196" s="4">
        <v>15</v>
      </c>
      <c r="E196" s="4">
        <v>6.3</v>
      </c>
      <c r="F196" s="4">
        <v>3</v>
      </c>
      <c r="G196" s="5">
        <v>1.9047619047619049</v>
      </c>
      <c r="H196" s="5" t="s">
        <v>46</v>
      </c>
      <c r="I196" s="6">
        <v>0.88235294117647056</v>
      </c>
      <c r="M196" s="3"/>
    </row>
    <row r="197" spans="1:13" x14ac:dyDescent="0.3">
      <c r="A197" s="4" t="s">
        <v>13</v>
      </c>
      <c r="B197" s="4" t="s">
        <v>35</v>
      </c>
      <c r="C197" s="4">
        <v>17</v>
      </c>
      <c r="D197" s="4">
        <v>8</v>
      </c>
      <c r="E197" s="4">
        <v>7</v>
      </c>
      <c r="F197" s="4">
        <v>2</v>
      </c>
      <c r="G197" s="5">
        <v>0.8571428571428571</v>
      </c>
      <c r="H197" s="5" t="s">
        <v>44</v>
      </c>
      <c r="I197" s="6">
        <v>0.47058823529411764</v>
      </c>
      <c r="M197" s="3"/>
    </row>
    <row r="198" spans="1:13" x14ac:dyDescent="0.3">
      <c r="A198" s="4" t="s">
        <v>13</v>
      </c>
      <c r="B198" s="4" t="s">
        <v>36</v>
      </c>
      <c r="C198" s="4">
        <v>18</v>
      </c>
      <c r="D198" s="4">
        <v>16</v>
      </c>
      <c r="E198" s="4">
        <v>8.8000000000000007</v>
      </c>
      <c r="F198" s="4">
        <v>2</v>
      </c>
      <c r="G198" s="5">
        <v>1.5909090909090908</v>
      </c>
      <c r="H198" s="5" t="s">
        <v>44</v>
      </c>
      <c r="I198" s="6">
        <v>0.88888888888888884</v>
      </c>
      <c r="M198" s="3"/>
    </row>
    <row r="199" spans="1:13" x14ac:dyDescent="0.3">
      <c r="A199" s="4" t="s">
        <v>13</v>
      </c>
      <c r="B199" s="4" t="s">
        <v>37</v>
      </c>
      <c r="C199" s="4">
        <v>19</v>
      </c>
      <c r="D199" s="4">
        <v>18</v>
      </c>
      <c r="E199" s="4">
        <v>7.1</v>
      </c>
      <c r="F199" s="7">
        <v>4</v>
      </c>
      <c r="G199" s="5">
        <v>1.971830985915493</v>
      </c>
      <c r="H199" s="5" t="s">
        <v>46</v>
      </c>
      <c r="I199" s="6">
        <v>0.94736842105263153</v>
      </c>
      <c r="M199" s="3"/>
    </row>
    <row r="200" spans="1:13" x14ac:dyDescent="0.3">
      <c r="A200" s="4" t="s">
        <v>13</v>
      </c>
      <c r="B200" s="4" t="s">
        <v>38</v>
      </c>
      <c r="C200" s="4">
        <v>17</v>
      </c>
      <c r="D200" s="4">
        <v>9</v>
      </c>
      <c r="E200" s="4">
        <v>6.6</v>
      </c>
      <c r="F200" s="4">
        <v>1</v>
      </c>
      <c r="G200" s="5">
        <v>1.2121212121212122</v>
      </c>
      <c r="H200" s="5" t="s">
        <v>44</v>
      </c>
      <c r="I200" s="6">
        <v>0.52941176470588236</v>
      </c>
      <c r="M200" s="3"/>
    </row>
    <row r="201" spans="1:13" x14ac:dyDescent="0.3">
      <c r="A201" s="4" t="s">
        <v>13</v>
      </c>
      <c r="B201" s="4" t="s">
        <v>39</v>
      </c>
      <c r="C201" s="4">
        <v>18</v>
      </c>
      <c r="D201" s="4">
        <v>17</v>
      </c>
      <c r="E201" s="4">
        <v>8.6999999999999993</v>
      </c>
      <c r="F201" s="4">
        <v>3</v>
      </c>
      <c r="G201" s="5">
        <v>1.6091954022988506</v>
      </c>
      <c r="H201" s="5" t="s">
        <v>46</v>
      </c>
      <c r="I201" s="6">
        <v>0.94444444444444442</v>
      </c>
      <c r="M201" s="3"/>
    </row>
    <row r="202" spans="1:13" x14ac:dyDescent="0.3">
      <c r="A202" s="4" t="s">
        <v>14</v>
      </c>
      <c r="B202" s="4" t="s">
        <v>15</v>
      </c>
      <c r="C202" s="4">
        <v>10</v>
      </c>
      <c r="D202" s="4">
        <v>8</v>
      </c>
      <c r="E202" s="4">
        <v>8.1999999999999993</v>
      </c>
      <c r="F202" s="4">
        <v>2</v>
      </c>
      <c r="G202" s="5">
        <v>0.73170731707317083</v>
      </c>
      <c r="H202" s="5" t="s">
        <v>44</v>
      </c>
      <c r="I202" s="6">
        <v>0.8</v>
      </c>
      <c r="M202" s="3"/>
    </row>
    <row r="203" spans="1:13" x14ac:dyDescent="0.3">
      <c r="A203" s="4" t="s">
        <v>14</v>
      </c>
      <c r="B203" s="4" t="s">
        <v>16</v>
      </c>
      <c r="C203" s="4">
        <v>19</v>
      </c>
      <c r="D203" s="4">
        <v>17</v>
      </c>
      <c r="E203" s="4">
        <v>6.9</v>
      </c>
      <c r="F203" s="4">
        <v>0</v>
      </c>
      <c r="G203" s="5">
        <v>2.4637681159420288</v>
      </c>
      <c r="H203" s="5" t="s">
        <v>44</v>
      </c>
      <c r="I203" s="6">
        <v>0.89473684210526316</v>
      </c>
      <c r="M203" s="3"/>
    </row>
    <row r="204" spans="1:13" x14ac:dyDescent="0.3">
      <c r="A204" s="4" t="s">
        <v>14</v>
      </c>
      <c r="B204" s="4" t="s">
        <v>17</v>
      </c>
      <c r="C204" s="4">
        <v>10</v>
      </c>
      <c r="D204" s="4">
        <v>9</v>
      </c>
      <c r="E204" s="4">
        <v>8.9</v>
      </c>
      <c r="F204" s="4">
        <v>3</v>
      </c>
      <c r="G204" s="5">
        <v>0.6741573033707865</v>
      </c>
      <c r="H204" s="5" t="s">
        <v>46</v>
      </c>
      <c r="I204" s="6">
        <v>0.9</v>
      </c>
      <c r="M204" s="3"/>
    </row>
    <row r="205" spans="1:13" x14ac:dyDescent="0.3">
      <c r="A205" s="4" t="s">
        <v>14</v>
      </c>
      <c r="B205" s="4" t="s">
        <v>18</v>
      </c>
      <c r="C205" s="4">
        <v>16</v>
      </c>
      <c r="D205" s="4">
        <v>12</v>
      </c>
      <c r="E205" s="4">
        <v>6.4</v>
      </c>
      <c r="F205" s="4">
        <v>1</v>
      </c>
      <c r="G205" s="5">
        <v>1.71875</v>
      </c>
      <c r="H205" s="5" t="s">
        <v>44</v>
      </c>
      <c r="I205" s="6">
        <v>0.75</v>
      </c>
      <c r="M205" s="3"/>
    </row>
    <row r="206" spans="1:13" x14ac:dyDescent="0.3">
      <c r="A206" s="4" t="s">
        <v>14</v>
      </c>
      <c r="B206" s="4" t="s">
        <v>19</v>
      </c>
      <c r="C206" s="4">
        <v>11</v>
      </c>
      <c r="D206" s="4">
        <v>8</v>
      </c>
      <c r="E206" s="4">
        <v>7.3</v>
      </c>
      <c r="F206" s="7">
        <v>5</v>
      </c>
      <c r="G206" s="5">
        <v>0.41095890410958907</v>
      </c>
      <c r="H206" s="5" t="s">
        <v>46</v>
      </c>
      <c r="I206" s="6">
        <v>0.72727272727272729</v>
      </c>
      <c r="M206" s="3"/>
    </row>
    <row r="207" spans="1:13" x14ac:dyDescent="0.3">
      <c r="A207" s="4" t="s">
        <v>14</v>
      </c>
      <c r="B207" s="4" t="s">
        <v>20</v>
      </c>
      <c r="C207" s="4">
        <v>15</v>
      </c>
      <c r="D207" s="4">
        <v>13</v>
      </c>
      <c r="E207" s="4">
        <v>9</v>
      </c>
      <c r="F207" s="4">
        <v>3</v>
      </c>
      <c r="G207" s="5">
        <v>1.1111111111111112</v>
      </c>
      <c r="H207" s="5" t="s">
        <v>46</v>
      </c>
      <c r="I207" s="6">
        <v>0.8666666666666667</v>
      </c>
      <c r="M207" s="3"/>
    </row>
    <row r="208" spans="1:13" x14ac:dyDescent="0.3">
      <c r="A208" s="4" t="s">
        <v>14</v>
      </c>
      <c r="B208" s="4" t="s">
        <v>21</v>
      </c>
      <c r="C208" s="4">
        <v>20</v>
      </c>
      <c r="D208" s="4">
        <v>17</v>
      </c>
      <c r="E208" s="4">
        <v>8.4</v>
      </c>
      <c r="F208" s="4">
        <v>0</v>
      </c>
      <c r="G208" s="5">
        <v>2.0238095238095237</v>
      </c>
      <c r="H208" s="5" t="s">
        <v>44</v>
      </c>
      <c r="I208" s="6">
        <v>0.85</v>
      </c>
      <c r="M208" s="3"/>
    </row>
    <row r="209" spans="1:13" x14ac:dyDescent="0.3">
      <c r="A209" s="4" t="s">
        <v>14</v>
      </c>
      <c r="B209" s="4" t="s">
        <v>22</v>
      </c>
      <c r="C209" s="4">
        <v>15</v>
      </c>
      <c r="D209" s="4">
        <v>9</v>
      </c>
      <c r="E209" s="4">
        <v>8.8000000000000007</v>
      </c>
      <c r="F209" s="4">
        <v>1</v>
      </c>
      <c r="G209" s="5">
        <v>0.90909090909090906</v>
      </c>
      <c r="H209" s="5" t="s">
        <v>44</v>
      </c>
      <c r="I209" s="6">
        <v>0.6</v>
      </c>
      <c r="M209" s="3"/>
    </row>
    <row r="210" spans="1:13" x14ac:dyDescent="0.3">
      <c r="A210" s="4" t="s">
        <v>14</v>
      </c>
      <c r="B210" s="4" t="s">
        <v>23</v>
      </c>
      <c r="C210" s="4">
        <v>16</v>
      </c>
      <c r="D210" s="4">
        <v>8</v>
      </c>
      <c r="E210" s="4">
        <v>6.2</v>
      </c>
      <c r="F210" s="7">
        <v>5</v>
      </c>
      <c r="G210" s="5">
        <v>0.48387096774193544</v>
      </c>
      <c r="H210" s="5" t="s">
        <v>46</v>
      </c>
      <c r="I210" s="6">
        <v>0.5</v>
      </c>
      <c r="M210" s="3"/>
    </row>
    <row r="211" spans="1:13" x14ac:dyDescent="0.3">
      <c r="A211" s="4" t="s">
        <v>14</v>
      </c>
      <c r="B211" s="4" t="s">
        <v>24</v>
      </c>
      <c r="C211" s="4">
        <v>16</v>
      </c>
      <c r="D211" s="4">
        <v>15</v>
      </c>
      <c r="E211" s="4">
        <v>6.4</v>
      </c>
      <c r="F211" s="4">
        <v>3</v>
      </c>
      <c r="G211" s="5">
        <v>1.875</v>
      </c>
      <c r="H211" s="5" t="s">
        <v>46</v>
      </c>
      <c r="I211" s="6">
        <v>0.9375</v>
      </c>
      <c r="M211" s="3"/>
    </row>
    <row r="212" spans="1:13" x14ac:dyDescent="0.3">
      <c r="C212" s="8">
        <f>SUBTOTAL(109,Table5[Tasks Assigned])</f>
        <v>3154</v>
      </c>
      <c r="D212" s="8">
        <f>SUBTOTAL(109,Table5[Tasks Completed])</f>
        <v>2447</v>
      </c>
      <c r="E212" s="8">
        <f>SUBTOTAL(109,Table5[Working Hours])</f>
        <v>1614.4000000000003</v>
      </c>
      <c r="F212" s="8"/>
      <c r="G212" s="8"/>
      <c r="H212" s="8"/>
      <c r="I212" s="9"/>
    </row>
  </sheetData>
  <conditionalFormatting sqref="F2:F211">
    <cfRule type="colorScale" priority="1">
      <colorScale>
        <cfvo type="num" val="&quot;&gt;3&quot;"/>
        <cfvo type="max"/>
        <color rgb="FFC00000"/>
        <color rgb="FFFFEF9C"/>
      </colorScale>
    </cfRule>
    <cfRule type="cellIs" dxfId="2" priority="2" operator="greaterThan">
      <formula>3</formula>
    </cfRule>
  </conditionalFormatting>
  <conditionalFormatting sqref="G2:G211">
    <cfRule type="cellIs" dxfId="1" priority="4" operator="greaterThan">
      <formula>1.5</formula>
    </cfRule>
    <cfRule type="cellIs" dxfId="0" priority="5" operator="lessThan">
      <formula>1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F484E-B4C8-48DD-8A7B-AEEC268CE348}">
  <dimension ref="B2:I50"/>
  <sheetViews>
    <sheetView topLeftCell="A13" zoomScaleNormal="100" workbookViewId="0">
      <selection activeCell="O14" sqref="O14"/>
    </sheetView>
  </sheetViews>
  <sheetFormatPr defaultRowHeight="14.4" x14ac:dyDescent="0.3"/>
  <sheetData>
    <row r="2" spans="2:9" ht="14.4" customHeight="1" x14ac:dyDescent="0.3">
      <c r="B2" s="10" t="s">
        <v>40</v>
      </c>
      <c r="C2" s="11"/>
      <c r="D2" s="11"/>
      <c r="E2" s="11"/>
      <c r="F2" s="11"/>
      <c r="G2" s="11"/>
      <c r="H2" s="11"/>
      <c r="I2" s="12"/>
    </row>
    <row r="3" spans="2:9" x14ac:dyDescent="0.3">
      <c r="B3" s="13"/>
      <c r="C3" s="14"/>
      <c r="D3" s="14"/>
      <c r="E3" s="14"/>
      <c r="F3" s="14"/>
      <c r="G3" s="14"/>
      <c r="H3" s="14"/>
      <c r="I3" s="15"/>
    </row>
    <row r="4" spans="2:9" x14ac:dyDescent="0.3">
      <c r="B4" s="13"/>
      <c r="C4" s="14"/>
      <c r="D4" s="14"/>
      <c r="E4" s="14"/>
      <c r="F4" s="14"/>
      <c r="G4" s="14"/>
      <c r="H4" s="14"/>
      <c r="I4" s="15"/>
    </row>
    <row r="5" spans="2:9" x14ac:dyDescent="0.3">
      <c r="B5" s="13"/>
      <c r="C5" s="14"/>
      <c r="D5" s="14"/>
      <c r="E5" s="14"/>
      <c r="F5" s="14"/>
      <c r="G5" s="14"/>
      <c r="H5" s="14"/>
      <c r="I5" s="15"/>
    </row>
    <row r="6" spans="2:9" x14ac:dyDescent="0.3">
      <c r="B6" s="13"/>
      <c r="C6" s="14"/>
      <c r="D6" s="14"/>
      <c r="E6" s="14"/>
      <c r="F6" s="14"/>
      <c r="G6" s="14"/>
      <c r="H6" s="14"/>
      <c r="I6" s="15"/>
    </row>
    <row r="7" spans="2:9" x14ac:dyDescent="0.3">
      <c r="B7" s="13"/>
      <c r="C7" s="14"/>
      <c r="D7" s="14"/>
      <c r="E7" s="14"/>
      <c r="F7" s="14"/>
      <c r="G7" s="14"/>
      <c r="H7" s="14"/>
      <c r="I7" s="15"/>
    </row>
    <row r="8" spans="2:9" x14ac:dyDescent="0.3">
      <c r="B8" s="13"/>
      <c r="C8" s="14"/>
      <c r="D8" s="14"/>
      <c r="E8" s="14"/>
      <c r="F8" s="14"/>
      <c r="G8" s="14"/>
      <c r="H8" s="14"/>
      <c r="I8" s="15"/>
    </row>
    <row r="9" spans="2:9" x14ac:dyDescent="0.3">
      <c r="B9" s="13"/>
      <c r="C9" s="14"/>
      <c r="D9" s="14"/>
      <c r="E9" s="14"/>
      <c r="F9" s="14"/>
      <c r="G9" s="14"/>
      <c r="H9" s="14"/>
      <c r="I9" s="15"/>
    </row>
    <row r="10" spans="2:9" x14ac:dyDescent="0.3">
      <c r="B10" s="13"/>
      <c r="C10" s="14"/>
      <c r="D10" s="14"/>
      <c r="E10" s="14"/>
      <c r="F10" s="14"/>
      <c r="G10" s="14"/>
      <c r="H10" s="14"/>
      <c r="I10" s="15"/>
    </row>
    <row r="11" spans="2:9" x14ac:dyDescent="0.3">
      <c r="B11" s="13"/>
      <c r="C11" s="14"/>
      <c r="D11" s="14"/>
      <c r="E11" s="14"/>
      <c r="F11" s="14"/>
      <c r="G11" s="14"/>
      <c r="H11" s="14"/>
      <c r="I11" s="15"/>
    </row>
    <row r="12" spans="2:9" x14ac:dyDescent="0.3">
      <c r="B12" s="13"/>
      <c r="C12" s="14"/>
      <c r="D12" s="14"/>
      <c r="E12" s="14"/>
      <c r="F12" s="14"/>
      <c r="G12" s="14"/>
      <c r="H12" s="14"/>
      <c r="I12" s="15"/>
    </row>
    <row r="13" spans="2:9" x14ac:dyDescent="0.3">
      <c r="B13" s="13"/>
      <c r="C13" s="14"/>
      <c r="D13" s="14"/>
      <c r="E13" s="14"/>
      <c r="F13" s="14"/>
      <c r="G13" s="14"/>
      <c r="H13" s="14"/>
      <c r="I13" s="15"/>
    </row>
    <row r="14" spans="2:9" x14ac:dyDescent="0.3">
      <c r="B14" s="13"/>
      <c r="C14" s="14"/>
      <c r="D14" s="14"/>
      <c r="E14" s="14"/>
      <c r="F14" s="14"/>
      <c r="G14" s="14"/>
      <c r="H14" s="14"/>
      <c r="I14" s="15"/>
    </row>
    <row r="15" spans="2:9" x14ac:dyDescent="0.3">
      <c r="B15" s="13"/>
      <c r="C15" s="14"/>
      <c r="D15" s="14"/>
      <c r="E15" s="14"/>
      <c r="F15" s="14"/>
      <c r="G15" s="14"/>
      <c r="H15" s="14"/>
      <c r="I15" s="15"/>
    </row>
    <row r="16" spans="2:9" x14ac:dyDescent="0.3">
      <c r="B16" s="13"/>
      <c r="C16" s="14"/>
      <c r="D16" s="14"/>
      <c r="E16" s="14"/>
      <c r="F16" s="14"/>
      <c r="G16" s="14"/>
      <c r="H16" s="14"/>
      <c r="I16" s="15"/>
    </row>
    <row r="17" spans="2:9" x14ac:dyDescent="0.3">
      <c r="B17" s="13"/>
      <c r="C17" s="14"/>
      <c r="D17" s="14"/>
      <c r="E17" s="14"/>
      <c r="F17" s="14"/>
      <c r="G17" s="14"/>
      <c r="H17" s="14"/>
      <c r="I17" s="15"/>
    </row>
    <row r="18" spans="2:9" x14ac:dyDescent="0.3">
      <c r="B18" s="13"/>
      <c r="C18" s="14"/>
      <c r="D18" s="14"/>
      <c r="E18" s="14"/>
      <c r="F18" s="14"/>
      <c r="G18" s="14"/>
      <c r="H18" s="14"/>
      <c r="I18" s="15"/>
    </row>
    <row r="19" spans="2:9" x14ac:dyDescent="0.3">
      <c r="B19" s="13"/>
      <c r="C19" s="14"/>
      <c r="D19" s="14"/>
      <c r="E19" s="14"/>
      <c r="F19" s="14"/>
      <c r="G19" s="14"/>
      <c r="H19" s="14"/>
      <c r="I19" s="15"/>
    </row>
    <row r="20" spans="2:9" x14ac:dyDescent="0.3">
      <c r="B20" s="13"/>
      <c r="C20" s="14"/>
      <c r="D20" s="14"/>
      <c r="E20" s="14"/>
      <c r="F20" s="14"/>
      <c r="G20" s="14"/>
      <c r="H20" s="14"/>
      <c r="I20" s="15"/>
    </row>
    <row r="21" spans="2:9" x14ac:dyDescent="0.3">
      <c r="B21" s="13"/>
      <c r="C21" s="14"/>
      <c r="D21" s="14"/>
      <c r="E21" s="14"/>
      <c r="F21" s="14"/>
      <c r="G21" s="14"/>
      <c r="H21" s="14"/>
      <c r="I21" s="15"/>
    </row>
    <row r="22" spans="2:9" x14ac:dyDescent="0.3">
      <c r="B22" s="13"/>
      <c r="C22" s="14"/>
      <c r="D22" s="14"/>
      <c r="E22" s="14"/>
      <c r="F22" s="14"/>
      <c r="G22" s="14"/>
      <c r="H22" s="14"/>
      <c r="I22" s="15"/>
    </row>
    <row r="23" spans="2:9" x14ac:dyDescent="0.3">
      <c r="B23" s="13"/>
      <c r="C23" s="14"/>
      <c r="D23" s="14"/>
      <c r="E23" s="14"/>
      <c r="F23" s="14"/>
      <c r="G23" s="14"/>
      <c r="H23" s="14"/>
      <c r="I23" s="15"/>
    </row>
    <row r="24" spans="2:9" x14ac:dyDescent="0.3">
      <c r="B24" s="13"/>
      <c r="C24" s="14"/>
      <c r="D24" s="14"/>
      <c r="E24" s="14"/>
      <c r="F24" s="14"/>
      <c r="G24" s="14"/>
      <c r="H24" s="14"/>
      <c r="I24" s="15"/>
    </row>
    <row r="25" spans="2:9" x14ac:dyDescent="0.3">
      <c r="B25" s="13"/>
      <c r="C25" s="14"/>
      <c r="D25" s="14"/>
      <c r="E25" s="14"/>
      <c r="F25" s="14"/>
      <c r="G25" s="14"/>
      <c r="H25" s="14"/>
      <c r="I25" s="15"/>
    </row>
    <row r="26" spans="2:9" x14ac:dyDescent="0.3">
      <c r="B26" s="13"/>
      <c r="C26" s="14"/>
      <c r="D26" s="14"/>
      <c r="E26" s="14"/>
      <c r="F26" s="14"/>
      <c r="G26" s="14"/>
      <c r="H26" s="14"/>
      <c r="I26" s="15"/>
    </row>
    <row r="27" spans="2:9" x14ac:dyDescent="0.3">
      <c r="B27" s="13"/>
      <c r="C27" s="14"/>
      <c r="D27" s="14"/>
      <c r="E27" s="14"/>
      <c r="F27" s="14"/>
      <c r="G27" s="14"/>
      <c r="H27" s="14"/>
      <c r="I27" s="15"/>
    </row>
    <row r="28" spans="2:9" x14ac:dyDescent="0.3">
      <c r="B28" s="13"/>
      <c r="C28" s="14"/>
      <c r="D28" s="14"/>
      <c r="E28" s="14"/>
      <c r="F28" s="14"/>
      <c r="G28" s="14"/>
      <c r="H28" s="14"/>
      <c r="I28" s="15"/>
    </row>
    <row r="29" spans="2:9" x14ac:dyDescent="0.3">
      <c r="B29" s="13"/>
      <c r="C29" s="14"/>
      <c r="D29" s="14"/>
      <c r="E29" s="14"/>
      <c r="F29" s="14"/>
      <c r="G29" s="14"/>
      <c r="H29" s="14"/>
      <c r="I29" s="15"/>
    </row>
    <row r="30" spans="2:9" x14ac:dyDescent="0.3">
      <c r="B30" s="13"/>
      <c r="C30" s="14"/>
      <c r="D30" s="14"/>
      <c r="E30" s="14"/>
      <c r="F30" s="14"/>
      <c r="G30" s="14"/>
      <c r="H30" s="14"/>
      <c r="I30" s="15"/>
    </row>
    <row r="31" spans="2:9" x14ac:dyDescent="0.3">
      <c r="B31" s="13"/>
      <c r="C31" s="14"/>
      <c r="D31" s="14"/>
      <c r="E31" s="14"/>
      <c r="F31" s="14"/>
      <c r="G31" s="14"/>
      <c r="H31" s="14"/>
      <c r="I31" s="15"/>
    </row>
    <row r="32" spans="2:9" x14ac:dyDescent="0.3">
      <c r="B32" s="13"/>
      <c r="C32" s="14"/>
      <c r="D32" s="14"/>
      <c r="E32" s="14"/>
      <c r="F32" s="14"/>
      <c r="G32" s="14"/>
      <c r="H32" s="14"/>
      <c r="I32" s="15"/>
    </row>
    <row r="33" spans="2:9" x14ac:dyDescent="0.3">
      <c r="B33" s="13"/>
      <c r="C33" s="14"/>
      <c r="D33" s="14"/>
      <c r="E33" s="14"/>
      <c r="F33" s="14"/>
      <c r="G33" s="14"/>
      <c r="H33" s="14"/>
      <c r="I33" s="15"/>
    </row>
    <row r="34" spans="2:9" x14ac:dyDescent="0.3">
      <c r="B34" s="13"/>
      <c r="C34" s="14"/>
      <c r="D34" s="14"/>
      <c r="E34" s="14"/>
      <c r="F34" s="14"/>
      <c r="G34" s="14"/>
      <c r="H34" s="14"/>
      <c r="I34" s="15"/>
    </row>
    <row r="35" spans="2:9" x14ac:dyDescent="0.3">
      <c r="B35" s="13"/>
      <c r="C35" s="14"/>
      <c r="D35" s="14"/>
      <c r="E35" s="14"/>
      <c r="F35" s="14"/>
      <c r="G35" s="14"/>
      <c r="H35" s="14"/>
      <c r="I35" s="15"/>
    </row>
    <row r="36" spans="2:9" x14ac:dyDescent="0.3">
      <c r="B36" s="13"/>
      <c r="C36" s="14"/>
      <c r="D36" s="14"/>
      <c r="E36" s="14"/>
      <c r="F36" s="14"/>
      <c r="G36" s="14"/>
      <c r="H36" s="14"/>
      <c r="I36" s="15"/>
    </row>
    <row r="37" spans="2:9" x14ac:dyDescent="0.3">
      <c r="B37" s="13"/>
      <c r="C37" s="14"/>
      <c r="D37" s="14"/>
      <c r="E37" s="14"/>
      <c r="F37" s="14"/>
      <c r="G37" s="14"/>
      <c r="H37" s="14"/>
      <c r="I37" s="15"/>
    </row>
    <row r="38" spans="2:9" x14ac:dyDescent="0.3">
      <c r="B38" s="13"/>
      <c r="C38" s="14"/>
      <c r="D38" s="14"/>
      <c r="E38" s="14"/>
      <c r="F38" s="14"/>
      <c r="G38" s="14"/>
      <c r="H38" s="14"/>
      <c r="I38" s="15"/>
    </row>
    <row r="39" spans="2:9" x14ac:dyDescent="0.3">
      <c r="B39" s="13"/>
      <c r="C39" s="14"/>
      <c r="D39" s="14"/>
      <c r="E39" s="14"/>
      <c r="F39" s="14"/>
      <c r="G39" s="14"/>
      <c r="H39" s="14"/>
      <c r="I39" s="15"/>
    </row>
    <row r="40" spans="2:9" x14ac:dyDescent="0.3">
      <c r="B40" s="13"/>
      <c r="C40" s="14"/>
      <c r="D40" s="14"/>
      <c r="E40" s="14"/>
      <c r="F40" s="14"/>
      <c r="G40" s="14"/>
      <c r="H40" s="14"/>
      <c r="I40" s="15"/>
    </row>
    <row r="41" spans="2:9" x14ac:dyDescent="0.3">
      <c r="B41" s="13"/>
      <c r="C41" s="14"/>
      <c r="D41" s="14"/>
      <c r="E41" s="14"/>
      <c r="F41" s="14"/>
      <c r="G41" s="14"/>
      <c r="H41" s="14"/>
      <c r="I41" s="15"/>
    </row>
    <row r="42" spans="2:9" x14ac:dyDescent="0.3">
      <c r="B42" s="13"/>
      <c r="C42" s="14"/>
      <c r="D42" s="14"/>
      <c r="E42" s="14"/>
      <c r="F42" s="14"/>
      <c r="G42" s="14"/>
      <c r="H42" s="14"/>
      <c r="I42" s="15"/>
    </row>
    <row r="43" spans="2:9" x14ac:dyDescent="0.3">
      <c r="B43" s="13"/>
      <c r="C43" s="14"/>
      <c r="D43" s="14"/>
      <c r="E43" s="14"/>
      <c r="F43" s="14"/>
      <c r="G43" s="14"/>
      <c r="H43" s="14"/>
      <c r="I43" s="15"/>
    </row>
    <row r="44" spans="2:9" x14ac:dyDescent="0.3">
      <c r="B44" s="13"/>
      <c r="C44" s="14"/>
      <c r="D44" s="14"/>
      <c r="E44" s="14"/>
      <c r="F44" s="14"/>
      <c r="G44" s="14"/>
      <c r="H44" s="14"/>
      <c r="I44" s="15"/>
    </row>
    <row r="45" spans="2:9" x14ac:dyDescent="0.3">
      <c r="B45" s="13"/>
      <c r="C45" s="14"/>
      <c r="D45" s="14"/>
      <c r="E45" s="14"/>
      <c r="F45" s="14"/>
      <c r="G45" s="14"/>
      <c r="H45" s="14"/>
      <c r="I45" s="15"/>
    </row>
    <row r="46" spans="2:9" x14ac:dyDescent="0.3">
      <c r="B46" s="13"/>
      <c r="C46" s="14"/>
      <c r="D46" s="14"/>
      <c r="E46" s="14"/>
      <c r="F46" s="14"/>
      <c r="G46" s="14"/>
      <c r="H46" s="14"/>
      <c r="I46" s="15"/>
    </row>
    <row r="47" spans="2:9" x14ac:dyDescent="0.3">
      <c r="B47" s="13"/>
      <c r="C47" s="14"/>
      <c r="D47" s="14"/>
      <c r="E47" s="14"/>
      <c r="F47" s="14"/>
      <c r="G47" s="14"/>
      <c r="H47" s="14"/>
      <c r="I47" s="15"/>
    </row>
    <row r="48" spans="2:9" x14ac:dyDescent="0.3">
      <c r="B48" s="13"/>
      <c r="C48" s="14"/>
      <c r="D48" s="14"/>
      <c r="E48" s="14"/>
      <c r="F48" s="14"/>
      <c r="G48" s="14"/>
      <c r="H48" s="14"/>
      <c r="I48" s="15"/>
    </row>
    <row r="49" spans="2:9" x14ac:dyDescent="0.3">
      <c r="B49" s="13"/>
      <c r="C49" s="14"/>
      <c r="D49" s="14"/>
      <c r="E49" s="14"/>
      <c r="F49" s="14"/>
      <c r="G49" s="14"/>
      <c r="H49" s="14"/>
      <c r="I49" s="15"/>
    </row>
    <row r="50" spans="2:9" x14ac:dyDescent="0.3">
      <c r="B50" s="16"/>
      <c r="C50" s="17"/>
      <c r="D50" s="17"/>
      <c r="E50" s="17"/>
      <c r="F50" s="17"/>
      <c r="G50" s="17"/>
      <c r="H50" s="17"/>
      <c r="I50" s="18"/>
    </row>
  </sheetData>
  <mergeCells count="1">
    <mergeCell ref="B2:I50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Vishwanath Madawal</cp:lastModifiedBy>
  <dcterms:created xsi:type="dcterms:W3CDTF">2025-07-22T05:11:39Z</dcterms:created>
  <dcterms:modified xsi:type="dcterms:W3CDTF">2025-08-20T18:27:53Z</dcterms:modified>
</cp:coreProperties>
</file>