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Assignments\"/>
    </mc:Choice>
  </mc:AlternateContent>
  <xr:revisionPtr revIDLastSave="0" documentId="13_ncr:1_{6E1F9F3A-F1DE-4DEA-9068-A3E69C54C1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uestions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2" i="1" l="1"/>
  <c r="F212" i="1"/>
  <c r="B212" i="1"/>
</calcChain>
</file>

<file path=xl/sharedStrings.xml><?xml version="1.0" encoding="utf-8"?>
<sst xmlns="http://schemas.openxmlformats.org/spreadsheetml/2006/main" count="220" uniqueCount="220">
  <si>
    <t>Date</t>
  </si>
  <si>
    <t>Visitors</t>
  </si>
  <si>
    <t>Ad Spend</t>
  </si>
  <si>
    <t>Revenue</t>
  </si>
  <si>
    <t>Page Views</t>
  </si>
  <si>
    <t>Signups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</si>
  <si>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</si>
  <si>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</si>
  <si>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</si>
  <si>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</si>
  <si>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</si>
  <si>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</si>
  <si>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</si>
  <si>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</si>
  <si>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</si>
  <si>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</si>
  <si>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</si>
  <si>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</si>
  <si>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</si>
  <si>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</si>
  <si>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</si>
  <si>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</si>
  <si>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</si>
  <si>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</si>
  <si>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</si>
  <si>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</si>
  <si>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</si>
  <si>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</si>
  <si>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</si>
  <si>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</si>
  <si>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</si>
  <si>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</si>
  <si>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</si>
  <si>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</si>
  <si>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</si>
  <si>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</si>
  <si>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</si>
  <si>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</si>
  <si>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</si>
  <si>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</si>
  <si>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</si>
  <si>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</si>
  <si>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</si>
  <si>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</si>
  <si>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</si>
  <si>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</si>
  <si>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</si>
  <si>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</si>
  <si>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</si>
  <si>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</si>
  <si>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</si>
  <si>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</si>
  <si>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</si>
  <si>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</si>
  <si>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</si>
  <si>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</si>
  <si>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</si>
  <si>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</si>
  <si>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</si>
  <si>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</si>
  <si>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</si>
  <si>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</si>
  <si>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</si>
  <si>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</si>
  <si>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</si>
  <si>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</si>
  <si>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</si>
  <si>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</si>
  <si>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</si>
  <si>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</si>
  <si>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</si>
  <si>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</si>
  <si>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</si>
  <si>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</si>
  <si>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</si>
  <si>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</si>
  <si>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</si>
  <si>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</si>
  <si>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</si>
  <si>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</si>
  <si>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</si>
  <si>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</si>
  <si>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</si>
  <si>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</si>
  <si>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</si>
  <si>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</si>
  <si>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</si>
  <si>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</si>
  <si>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</si>
  <si>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</si>
  <si>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</si>
  <si>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</si>
  <si>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</si>
  <si>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</si>
  <si>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</si>
  <si>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</si>
  <si>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</si>
  <si>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</si>
  <si>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</si>
  <si>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</si>
  <si>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</si>
  <si>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</si>
  <si>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</si>
  <si>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</si>
  <si>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</si>
  <si>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</si>
  <si>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</si>
  <si>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</si>
  <si>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</si>
  <si>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</si>
  <si>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</si>
  <si>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</si>
  <si>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</si>
  <si>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</si>
  <si>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</si>
  <si>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</si>
  <si>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</si>
  <si>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</si>
  <si>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</si>
  <si>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</si>
  <si>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</si>
  <si>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</si>
  <si>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</si>
  <si>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</si>
  <si>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</si>
  <si>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</si>
  <si>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</si>
  <si>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</si>
  <si>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</si>
  <si>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</si>
  <si>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</si>
  <si>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</si>
  <si>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</si>
  <si>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</si>
  <si>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</si>
  <si>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</si>
  <si>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</si>
  <si>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</si>
  <si>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</si>
  <si>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</si>
  <si>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</si>
  <si>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</si>
  <si>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</si>
  <si>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</si>
  <si>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</si>
  <si>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</si>
  <si>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</si>
  <si>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</si>
  <si>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</si>
  <si>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</si>
  <si>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</si>
  <si>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</si>
  <si>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</si>
  <si>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</si>
  <si>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</si>
  <si>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</si>
  <si>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</si>
  <si>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</si>
  <si>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</si>
  <si>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</si>
  <si>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</si>
  <si>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</si>
  <si>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</si>
  <si>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</si>
  <si>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</si>
  <si>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</si>
  <si>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</si>
  <si>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</si>
  <si>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</si>
  <si>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</si>
  <si>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</si>
  <si>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</si>
  <si>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</si>
  <si>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</si>
  <si>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</si>
  <si>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</si>
  <si>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</si>
  <si>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</si>
  <si>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</si>
  <si>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</si>
  <si>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</si>
  <si>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</si>
  <si>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</si>
  <si>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</si>
  <si>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</si>
  <si>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</si>
  <si>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</si>
  <si>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</si>
  <si>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</si>
  <si>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</si>
  <si>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</si>
  <si>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</si>
  <si>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</si>
  <si>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</si>
  <si>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</si>
  <si>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</si>
  <si>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</si>
  <si>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</si>
  <si>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</si>
  <si>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</si>
  <si>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</si>
  <si>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</si>
  <si>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</si>
  <si>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</si>
  <si>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</si>
  <si>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</si>
  <si>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</si>
  <si>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</si>
  <si>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</si>
  <si>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</si>
  <si>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</si>
  <si>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</si>
  <si>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</si>
  <si>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</si>
  <si>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</si>
  <si>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</si>
  <si>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r>
      <t xml:space="preserve">1. </t>
    </r>
    <r>
      <rPr>
        <b/>
        <sz val="11"/>
        <color theme="1"/>
        <rFont val="Calibri"/>
        <family val="2"/>
        <scheme val="minor"/>
      </rPr>
      <t>Autofit Column Width:</t>
    </r>
    <r>
      <rPr>
        <sz val="11"/>
        <color theme="1"/>
        <rFont val="Calibri"/>
        <family val="2"/>
        <scheme val="minor"/>
      </rPr>
      <t xml:space="preserve">
Adjust all columns so the content fits neatly without cutting off any data.
2. </t>
    </r>
    <r>
      <rPr>
        <b/>
        <sz val="11"/>
        <color theme="1"/>
        <rFont val="Calibri"/>
        <family val="2"/>
        <scheme val="minor"/>
      </rPr>
      <t>Format Data Columns</t>
    </r>
    <r>
      <rPr>
        <sz val="11"/>
        <color theme="1"/>
        <rFont val="Calibri"/>
        <family val="2"/>
        <scheme val="minor"/>
      </rPr>
      <t xml:space="preserve">:
Format Visitors, Page Views, and Signups to include comma separators (e.g., 10,000).
3. </t>
    </r>
    <r>
      <rPr>
        <b/>
        <sz val="11"/>
        <color theme="1"/>
        <rFont val="Calibri"/>
        <family val="2"/>
        <scheme val="minor"/>
      </rPr>
      <t>Calculate Revenue per Visitor</t>
    </r>
    <r>
      <rPr>
        <sz val="11"/>
        <color theme="1"/>
        <rFont val="Calibri"/>
        <family val="2"/>
        <scheme val="minor"/>
      </rPr>
      <t xml:space="preserve">:
Insert a new column to the right of Revenue.
Use the formula: Revenue per Visitor = Revenue / Visitors
Format this column as currency with two decimal places.
4. </t>
    </r>
    <r>
      <rPr>
        <b/>
        <sz val="11"/>
        <color theme="1"/>
        <rFont val="Calibri"/>
        <family val="2"/>
        <scheme val="minor"/>
      </rPr>
      <t>Calculate Conversion Rate</t>
    </r>
    <r>
      <rPr>
        <sz val="11"/>
        <color theme="1"/>
        <rFont val="Calibri"/>
        <family val="2"/>
        <scheme val="minor"/>
      </rPr>
      <t xml:space="preserve">:
Insert a column after Signups.
Use the formula: Conversion Rate = Signups / Visitors
Format this column as a percentage with two decimal places.
5. </t>
    </r>
    <r>
      <rPr>
        <b/>
        <sz val="11"/>
        <color theme="1"/>
        <rFont val="Calibri"/>
        <family val="2"/>
        <scheme val="minor"/>
      </rPr>
      <t>Freeze Panes</t>
    </r>
    <r>
      <rPr>
        <sz val="11"/>
        <color theme="1"/>
        <rFont val="Calibri"/>
        <family val="2"/>
        <scheme val="minor"/>
      </rPr>
      <t xml:space="preserve">:
Freeze the header row so it stays visible while scrolling.
6. </t>
    </r>
    <r>
      <rPr>
        <b/>
        <sz val="11"/>
        <color theme="1"/>
        <rFont val="Calibri"/>
        <family val="2"/>
        <scheme val="minor"/>
      </rPr>
      <t>Add Total Row:</t>
    </r>
    <r>
      <rPr>
        <sz val="11"/>
        <color theme="1"/>
        <rFont val="Calibri"/>
        <family val="2"/>
        <scheme val="minor"/>
      </rPr>
      <t xml:space="preserve">
Add a total row at the bottom for Visitors, Page Views, and Signups using the SUM function.
7. </t>
    </r>
    <r>
      <rPr>
        <b/>
        <sz val="11"/>
        <color theme="1"/>
        <rFont val="Calibri"/>
        <family val="2"/>
        <scheme val="minor"/>
      </rPr>
      <t xml:space="preserve">Remove Formulas (Sheet1):
</t>
    </r>
    <r>
      <rPr>
        <sz val="11"/>
        <color theme="1"/>
        <rFont val="Calibri"/>
        <family val="2"/>
        <scheme val="minor"/>
      </rPr>
      <t xml:space="preserve">Once calculated, replace all formulas with their final values (copy → paste values only).
8. </t>
    </r>
    <r>
      <rPr>
        <b/>
        <sz val="11"/>
        <color theme="1"/>
        <rFont val="Calibri"/>
        <family val="2"/>
        <scheme val="minor"/>
      </rPr>
      <t>Format Ad Spend Column:</t>
    </r>
    <r>
      <rPr>
        <sz val="11"/>
        <color theme="1"/>
        <rFont val="Calibri"/>
        <family val="2"/>
        <scheme val="minor"/>
      </rPr>
      <t xml:space="preserve">
Apply ₹ currency formatting to the Ad Spend column with no decimal places.
9. </t>
    </r>
    <r>
      <rPr>
        <b/>
        <sz val="11"/>
        <color theme="1"/>
        <rFont val="Calibri"/>
        <family val="2"/>
        <scheme val="minor"/>
      </rPr>
      <t>Conditional Formatting on Conversion Rate</t>
    </r>
    <r>
      <rPr>
        <sz val="11"/>
        <color theme="1"/>
        <rFont val="Calibri"/>
        <family val="2"/>
        <scheme val="minor"/>
      </rPr>
      <t xml:space="preserve">:
Highlight any Conversion Rate above 12% with a light green fill.
10. </t>
    </r>
    <r>
      <rPr>
        <b/>
        <sz val="11"/>
        <color theme="1"/>
        <rFont val="Calibri"/>
        <family val="2"/>
        <scheme val="minor"/>
      </rPr>
      <t>Bonus Display Task</t>
    </r>
    <r>
      <rPr>
        <sz val="11"/>
        <color theme="1"/>
        <rFont val="Calibri"/>
        <family val="2"/>
        <scheme val="minor"/>
      </rPr>
      <t>:
Add borders, light background shading, and bold headers to enhance the appearance of the table.</t>
    </r>
  </si>
  <si>
    <t>Revenue per visitors</t>
  </si>
  <si>
    <t>Conversion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</si>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</sst>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1" xfId="0" applyBorder="1"/>
    <xf numFmtId="4" fontId="0" fillId="0" borderId="1" xfId="0" applyNumberFormat="1" applyBorder="1"/>
    <xf numFmtId="0" fontId="0" fillId="0" borderId="1" xfId="0" applyBorder="1"/>
    <xf numFmtId="10" fontId="0" fillId="0" borderId="12" xfId="0" applyNumberFormat="1" applyBorder="1"/>
    <xf numFmtId="6" fontId="0" fillId="0" borderId="1" xfId="0" applyNumberFormat="1" applyBorder="1"/>
    <xf numFmtId="0" fontId="0" fillId="0" borderId="4" xfId="0" applyBorder="1"/>
    <xf numFmtId="0" fontId="0" fillId="0" borderId="13" xfId="0" applyBorder="1"/>
    <xf numFmtId="10" fontId="0" fillId="0" borderId="2" xfId="0" applyNumberFormat="1" applyBorder="1"/>
    <xf numFmtId="0" fontId="0" fillId="0" borderId="9" xfId="0" applyBorder="1" applyAlignment="1">
      <alignment horizontal="center" vertical="top"/>
    </xf>
    <xf numFmtId="4" fontId="0" fillId="0" borderId="10" xfId="0" applyNumberFormat="1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4" fontId="0" fillId="0" borderId="7" xfId="0" applyNumberFormat="1" applyBorder="1" applyAlignment="1">
      <alignment horizontal="center" vertical="top"/>
    </xf>
    <xf numFmtId="0" fontId="1" fillId="0" borderId="0" xfId="0" applyFont="1"/>
    <xf numFmtId="3" fontId="0" fillId="0" borderId="1" xfId="0" applyNumberFormat="1" applyBorder="1"/>
    <xf numFmtId="3" fontId="0" fillId="0" borderId="13" xfId="0" applyNumberFormat="1" applyBorder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0" formatCode="&quot;₹&quot;\ #,##0;[Red]&quot;₹&quot;\ \-#,##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00F109-592A-4870-B2DD-27BCFC8CB29E}" name="Table2" displayName="Table2" ref="A1:H212" totalsRowCount="1" headerRowDxfId="21" totalsRowDxfId="18" headerRowBorderDxfId="20" tableBorderDxfId="19" totalsRowBorderDxfId="17">
  <autoFilter ref="A1:H211" xr:uid="{0700F109-592A-4870-B2DD-27BCFC8CB29E}"/>
  <tableColumns count="8">
    <tableColumn id="1" xr3:uid="{89F31501-0CF8-45AA-8001-0FC72FB868B1}" name="Date" totalsRowLabel="Total" dataDxfId="16" totalsRowDxfId="15"/>
    <tableColumn id="2" xr3:uid="{AEC3B5C4-D57D-455F-BF2F-119BEC167E7D}" name="Visitors" totalsRowFunction="sum" dataDxfId="14" totalsRowDxfId="13"/>
    <tableColumn id="3" xr3:uid="{D41A2E05-B93C-427D-B61D-618080D8412C}" name="Ad Spend" dataDxfId="12" totalsRowDxfId="11"/>
    <tableColumn id="4" xr3:uid="{981C6C74-FB54-451A-8898-CDFD02C06992}" name="Revenue" dataDxfId="10" totalsRowDxfId="9"/>
    <tableColumn id="5" xr3:uid="{7A12B4AA-6C8E-44D1-8B3E-F014BE0DF4A0}" name="Revenue per visitors" dataDxfId="8" totalsRowDxfId="7"/>
    <tableColumn id="6" xr3:uid="{F8712BDA-F0F8-47FA-B720-5867BFC05AE4}" name="Page Views" totalsRowFunction="sum" dataDxfId="6" totalsRowDxfId="5"/>
    <tableColumn id="7" xr3:uid="{75706E3E-6AD4-4616-8E3A-A3DACFE92C12}" name="Signups" totalsRowFunction="sum" dataDxfId="4" totalsRowDxfId="3"/>
    <tableColumn id="8" xr3:uid="{A0222036-6327-401D-B5EF-5E79C7965EA9}" name="Conversion Rate" dataDxfId="2" totalsRow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2161-78C9-419C-B65F-6701B618BC34}">
  <dimension ref="B4:J42"/>
  <sheetViews>
    <sheetView topLeftCell="A2" zoomScale="63" workbookViewId="0">
      <selection activeCell="K4" sqref="K4"/>
    </sheetView>
  </sheetViews>
  <sheetFormatPr defaultRowHeight="14.4" x14ac:dyDescent="0.3"/>
  <sheetData>
    <row r="4" spans="2:10" x14ac:dyDescent="0.3">
      <c r="B4" s="16" t="s">
        <v>216</v>
      </c>
      <c r="C4" s="17"/>
      <c r="D4" s="17"/>
      <c r="E4" s="17"/>
      <c r="F4" s="17"/>
      <c r="G4" s="17"/>
      <c r="H4" s="17"/>
      <c r="I4" s="17"/>
      <c r="J4" s="18"/>
    </row>
    <row r="5" spans="2:10" x14ac:dyDescent="0.3">
      <c r="B5" s="19"/>
      <c r="C5" s="20"/>
      <c r="D5" s="20"/>
      <c r="E5" s="20"/>
      <c r="F5" s="20"/>
      <c r="G5" s="20"/>
      <c r="H5" s="20"/>
      <c r="I5" s="20"/>
      <c r="J5" s="21"/>
    </row>
    <row r="6" spans="2:10" x14ac:dyDescent="0.3">
      <c r="B6" s="19"/>
      <c r="C6" s="20"/>
      <c r="D6" s="20"/>
      <c r="E6" s="20"/>
      <c r="F6" s="20"/>
      <c r="G6" s="20"/>
      <c r="H6" s="20"/>
      <c r="I6" s="20"/>
      <c r="J6" s="21"/>
    </row>
    <row r="7" spans="2:10" x14ac:dyDescent="0.3">
      <c r="B7" s="19"/>
      <c r="C7" s="20"/>
      <c r="D7" s="20"/>
      <c r="E7" s="20"/>
      <c r="F7" s="20"/>
      <c r="G7" s="20"/>
      <c r="H7" s="20"/>
      <c r="I7" s="20"/>
      <c r="J7" s="21"/>
    </row>
    <row r="8" spans="2:10" x14ac:dyDescent="0.3">
      <c r="B8" s="19"/>
      <c r="C8" s="20"/>
      <c r="D8" s="20"/>
      <c r="E8" s="20"/>
      <c r="F8" s="20"/>
      <c r="G8" s="20"/>
      <c r="H8" s="20"/>
      <c r="I8" s="20"/>
      <c r="J8" s="21"/>
    </row>
    <row r="9" spans="2:10" x14ac:dyDescent="0.3">
      <c r="B9" s="19"/>
      <c r="C9" s="20"/>
      <c r="D9" s="20"/>
      <c r="E9" s="20"/>
      <c r="F9" s="20"/>
      <c r="G9" s="20"/>
      <c r="H9" s="20"/>
      <c r="I9" s="20"/>
      <c r="J9" s="21"/>
    </row>
    <row r="10" spans="2:10" x14ac:dyDescent="0.3">
      <c r="B10" s="19"/>
      <c r="C10" s="20"/>
      <c r="D10" s="20"/>
      <c r="E10" s="20"/>
      <c r="F10" s="20"/>
      <c r="G10" s="20"/>
      <c r="H10" s="20"/>
      <c r="I10" s="20"/>
      <c r="J10" s="21"/>
    </row>
    <row r="11" spans="2:10" x14ac:dyDescent="0.3">
      <c r="B11" s="19"/>
      <c r="C11" s="20"/>
      <c r="D11" s="20"/>
      <c r="E11" s="20"/>
      <c r="F11" s="20"/>
      <c r="G11" s="20"/>
      <c r="H11" s="20"/>
      <c r="I11" s="20"/>
      <c r="J11" s="21"/>
    </row>
    <row r="12" spans="2:10" x14ac:dyDescent="0.3">
      <c r="B12" s="19"/>
      <c r="C12" s="20"/>
      <c r="D12" s="20"/>
      <c r="E12" s="20"/>
      <c r="F12" s="20"/>
      <c r="G12" s="20"/>
      <c r="H12" s="20"/>
      <c r="I12" s="20"/>
      <c r="J12" s="21"/>
    </row>
    <row r="13" spans="2:10" x14ac:dyDescent="0.3">
      <c r="B13" s="19"/>
      <c r="C13" s="20"/>
      <c r="D13" s="20"/>
      <c r="E13" s="20"/>
      <c r="F13" s="20"/>
      <c r="G13" s="20"/>
      <c r="H13" s="20"/>
      <c r="I13" s="20"/>
      <c r="J13" s="21"/>
    </row>
    <row r="14" spans="2:10" x14ac:dyDescent="0.3">
      <c r="B14" s="19"/>
      <c r="C14" s="20"/>
      <c r="D14" s="20"/>
      <c r="E14" s="20"/>
      <c r="F14" s="20"/>
      <c r="G14" s="20"/>
      <c r="H14" s="20"/>
      <c r="I14" s="20"/>
      <c r="J14" s="21"/>
    </row>
    <row r="15" spans="2:10" x14ac:dyDescent="0.3">
      <c r="B15" s="19"/>
      <c r="C15" s="20"/>
      <c r="D15" s="20"/>
      <c r="E15" s="20"/>
      <c r="F15" s="20"/>
      <c r="G15" s="20"/>
      <c r="H15" s="20"/>
      <c r="I15" s="20"/>
      <c r="J15" s="21"/>
    </row>
    <row r="16" spans="2:10" x14ac:dyDescent="0.3">
      <c r="B16" s="19"/>
      <c r="C16" s="20"/>
      <c r="D16" s="20"/>
      <c r="E16" s="20"/>
      <c r="F16" s="20"/>
      <c r="G16" s="20"/>
      <c r="H16" s="20"/>
      <c r="I16" s="20"/>
      <c r="J16" s="21"/>
    </row>
    <row r="17" spans="2:10" x14ac:dyDescent="0.3">
      <c r="B17" s="19"/>
      <c r="C17" s="20"/>
      <c r="D17" s="20"/>
      <c r="E17" s="20"/>
      <c r="F17" s="20"/>
      <c r="G17" s="20"/>
      <c r="H17" s="20"/>
      <c r="I17" s="20"/>
      <c r="J17" s="21"/>
    </row>
    <row r="18" spans="2:10" x14ac:dyDescent="0.3">
      <c r="B18" s="19"/>
      <c r="C18" s="20"/>
      <c r="D18" s="20"/>
      <c r="E18" s="20"/>
      <c r="F18" s="20"/>
      <c r="G18" s="20"/>
      <c r="H18" s="20"/>
      <c r="I18" s="20"/>
      <c r="J18" s="21"/>
    </row>
    <row r="19" spans="2:10" x14ac:dyDescent="0.3">
      <c r="B19" s="19"/>
      <c r="C19" s="20"/>
      <c r="D19" s="20"/>
      <c r="E19" s="20"/>
      <c r="F19" s="20"/>
      <c r="G19" s="20"/>
      <c r="H19" s="20"/>
      <c r="I19" s="20"/>
      <c r="J19" s="21"/>
    </row>
    <row r="20" spans="2:10" x14ac:dyDescent="0.3">
      <c r="B20" s="19"/>
      <c r="C20" s="20"/>
      <c r="D20" s="20"/>
      <c r="E20" s="20"/>
      <c r="F20" s="20"/>
      <c r="G20" s="20"/>
      <c r="H20" s="20"/>
      <c r="I20" s="20"/>
      <c r="J20" s="21"/>
    </row>
    <row r="21" spans="2:10" x14ac:dyDescent="0.3">
      <c r="B21" s="19"/>
      <c r="C21" s="20"/>
      <c r="D21" s="20"/>
      <c r="E21" s="20"/>
      <c r="F21" s="20"/>
      <c r="G21" s="20"/>
      <c r="H21" s="20"/>
      <c r="I21" s="20"/>
      <c r="J21" s="21"/>
    </row>
    <row r="22" spans="2:10" x14ac:dyDescent="0.3">
      <c r="B22" s="19"/>
      <c r="C22" s="20"/>
      <c r="D22" s="20"/>
      <c r="E22" s="20"/>
      <c r="F22" s="20"/>
      <c r="G22" s="20"/>
      <c r="H22" s="20"/>
      <c r="I22" s="20"/>
      <c r="J22" s="21"/>
    </row>
    <row r="23" spans="2:10" x14ac:dyDescent="0.3">
      <c r="B23" s="19"/>
      <c r="C23" s="20"/>
      <c r="D23" s="20"/>
      <c r="E23" s="20"/>
      <c r="F23" s="20"/>
      <c r="G23" s="20"/>
      <c r="H23" s="20"/>
      <c r="I23" s="20"/>
      <c r="J23" s="21"/>
    </row>
    <row r="24" spans="2:10" x14ac:dyDescent="0.3">
      <c r="B24" s="19"/>
      <c r="C24" s="20"/>
      <c r="D24" s="20"/>
      <c r="E24" s="20"/>
      <c r="F24" s="20"/>
      <c r="G24" s="20"/>
      <c r="H24" s="20"/>
      <c r="I24" s="20"/>
      <c r="J24" s="21"/>
    </row>
    <row r="25" spans="2:10" x14ac:dyDescent="0.3">
      <c r="B25" s="19"/>
      <c r="C25" s="20"/>
      <c r="D25" s="20"/>
      <c r="E25" s="20"/>
      <c r="F25" s="20"/>
      <c r="G25" s="20"/>
      <c r="H25" s="20"/>
      <c r="I25" s="20"/>
      <c r="J25" s="21"/>
    </row>
    <row r="26" spans="2:10" x14ac:dyDescent="0.3">
      <c r="B26" s="19"/>
      <c r="C26" s="20"/>
      <c r="D26" s="20"/>
      <c r="E26" s="20"/>
      <c r="F26" s="20"/>
      <c r="G26" s="20"/>
      <c r="H26" s="20"/>
      <c r="I26" s="20"/>
      <c r="J26" s="21"/>
    </row>
    <row r="27" spans="2:10" x14ac:dyDescent="0.3">
      <c r="B27" s="19"/>
      <c r="C27" s="20"/>
      <c r="D27" s="20"/>
      <c r="E27" s="20"/>
      <c r="F27" s="20"/>
      <c r="G27" s="20"/>
      <c r="H27" s="20"/>
      <c r="I27" s="20"/>
      <c r="J27" s="21"/>
    </row>
    <row r="28" spans="2:10" x14ac:dyDescent="0.3">
      <c r="B28" s="19"/>
      <c r="C28" s="20"/>
      <c r="D28" s="20"/>
      <c r="E28" s="20"/>
      <c r="F28" s="20"/>
      <c r="G28" s="20"/>
      <c r="H28" s="20"/>
      <c r="I28" s="20"/>
      <c r="J28" s="21"/>
    </row>
    <row r="29" spans="2:10" x14ac:dyDescent="0.3">
      <c r="B29" s="19"/>
      <c r="C29" s="20"/>
      <c r="D29" s="20"/>
      <c r="E29" s="20"/>
      <c r="F29" s="20"/>
      <c r="G29" s="20"/>
      <c r="H29" s="20"/>
      <c r="I29" s="20"/>
      <c r="J29" s="21"/>
    </row>
    <row r="30" spans="2:10" x14ac:dyDescent="0.3">
      <c r="B30" s="19"/>
      <c r="C30" s="20"/>
      <c r="D30" s="20"/>
      <c r="E30" s="20"/>
      <c r="F30" s="20"/>
      <c r="G30" s="20"/>
      <c r="H30" s="20"/>
      <c r="I30" s="20"/>
      <c r="J30" s="21"/>
    </row>
    <row r="31" spans="2:10" x14ac:dyDescent="0.3">
      <c r="B31" s="19"/>
      <c r="C31" s="20"/>
      <c r="D31" s="20"/>
      <c r="E31" s="20"/>
      <c r="F31" s="20"/>
      <c r="G31" s="20"/>
      <c r="H31" s="20"/>
      <c r="I31" s="20"/>
      <c r="J31" s="21"/>
    </row>
    <row r="32" spans="2:10" x14ac:dyDescent="0.3">
      <c r="B32" s="19"/>
      <c r="C32" s="20"/>
      <c r="D32" s="20"/>
      <c r="E32" s="20"/>
      <c r="F32" s="20"/>
      <c r="G32" s="20"/>
      <c r="H32" s="20"/>
      <c r="I32" s="20"/>
      <c r="J32" s="21"/>
    </row>
    <row r="33" spans="2:10" x14ac:dyDescent="0.3">
      <c r="B33" s="19"/>
      <c r="C33" s="20"/>
      <c r="D33" s="20"/>
      <c r="E33" s="20"/>
      <c r="F33" s="20"/>
      <c r="G33" s="20"/>
      <c r="H33" s="20"/>
      <c r="I33" s="20"/>
      <c r="J33" s="21"/>
    </row>
    <row r="34" spans="2:10" x14ac:dyDescent="0.3">
      <c r="B34" s="19"/>
      <c r="C34" s="20"/>
      <c r="D34" s="20"/>
      <c r="E34" s="20"/>
      <c r="F34" s="20"/>
      <c r="G34" s="20"/>
      <c r="H34" s="20"/>
      <c r="I34" s="20"/>
      <c r="J34" s="21"/>
    </row>
    <row r="35" spans="2:10" x14ac:dyDescent="0.3">
      <c r="B35" s="19"/>
      <c r="C35" s="20"/>
      <c r="D35" s="20"/>
      <c r="E35" s="20"/>
      <c r="F35" s="20"/>
      <c r="G35" s="20"/>
      <c r="H35" s="20"/>
      <c r="I35" s="20"/>
      <c r="J35" s="21"/>
    </row>
    <row r="36" spans="2:10" x14ac:dyDescent="0.3">
      <c r="B36" s="19"/>
      <c r="C36" s="20"/>
      <c r="D36" s="20"/>
      <c r="E36" s="20"/>
      <c r="F36" s="20"/>
      <c r="G36" s="20"/>
      <c r="H36" s="20"/>
      <c r="I36" s="20"/>
      <c r="J36" s="21"/>
    </row>
    <row r="37" spans="2:10" x14ac:dyDescent="0.3">
      <c r="B37" s="19"/>
      <c r="C37" s="20"/>
      <c r="D37" s="20"/>
      <c r="E37" s="20"/>
      <c r="F37" s="20"/>
      <c r="G37" s="20"/>
      <c r="H37" s="20"/>
      <c r="I37" s="20"/>
      <c r="J37" s="21"/>
    </row>
    <row r="38" spans="2:10" x14ac:dyDescent="0.3">
      <c r="B38" s="19"/>
      <c r="C38" s="20"/>
      <c r="D38" s="20"/>
      <c r="E38" s="20"/>
      <c r="F38" s="20"/>
      <c r="G38" s="20"/>
      <c r="H38" s="20"/>
      <c r="I38" s="20"/>
      <c r="J38" s="21"/>
    </row>
    <row r="39" spans="2:10" x14ac:dyDescent="0.3">
      <c r="B39" s="19"/>
      <c r="C39" s="20"/>
      <c r="D39" s="20"/>
      <c r="E39" s="20"/>
      <c r="F39" s="20"/>
      <c r="G39" s="20"/>
      <c r="H39" s="20"/>
      <c r="I39" s="20"/>
      <c r="J39" s="21"/>
    </row>
    <row r="40" spans="2:10" x14ac:dyDescent="0.3">
      <c r="B40" s="19"/>
      <c r="C40" s="20"/>
      <c r="D40" s="20"/>
      <c r="E40" s="20"/>
      <c r="F40" s="20"/>
      <c r="G40" s="20"/>
      <c r="H40" s="20"/>
      <c r="I40" s="20"/>
      <c r="J40" s="21"/>
    </row>
    <row r="41" spans="2:10" x14ac:dyDescent="0.3">
      <c r="B41" s="19"/>
      <c r="C41" s="20"/>
      <c r="D41" s="20"/>
      <c r="E41" s="20"/>
      <c r="F41" s="20"/>
      <c r="G41" s="20"/>
      <c r="H41" s="20"/>
      <c r="I41" s="20"/>
      <c r="J41" s="21"/>
    </row>
    <row r="42" spans="2:10" x14ac:dyDescent="0.3">
      <c r="B42" s="22"/>
      <c r="C42" s="23"/>
      <c r="D42" s="23"/>
      <c r="E42" s="23"/>
      <c r="F42" s="23"/>
      <c r="G42" s="23"/>
      <c r="H42" s="23"/>
      <c r="I42" s="23"/>
      <c r="J42" s="24"/>
    </row>
  </sheetData>
  <mergeCells count="1">
    <mergeCell ref="B4:J4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"/>
  <sheetViews>
    <sheetView tabSelected="1" workbookViewId="0">
      <pane ySplit="1" topLeftCell="A190" activePane="bottomLeft" state="frozen"/>
      <selection pane="bottomLeft" activeCell="Q7" sqref="Q7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3.5546875" bestFit="1" customWidth="1"/>
    <col min="4" max="4" width="12.77734375" bestFit="1" customWidth="1"/>
    <col min="5" max="5" width="22.5546875" bestFit="1" customWidth="1"/>
    <col min="6" max="6" width="14.88671875" bestFit="1" customWidth="1"/>
    <col min="7" max="7" width="12" bestFit="1" customWidth="1"/>
    <col min="8" max="8" width="19.21875" bestFit="1" customWidth="1"/>
  </cols>
  <sheetData>
    <row r="1" spans="1:10" x14ac:dyDescent="0.3">
      <c r="A1" s="9" t="s">
        <v>0</v>
      </c>
      <c r="B1" s="10" t="s">
        <v>1</v>
      </c>
      <c r="C1" s="11" t="s">
        <v>2</v>
      </c>
      <c r="D1" s="11" t="s">
        <v>3</v>
      </c>
      <c r="E1" s="11" t="s">
        <v>217</v>
      </c>
      <c r="F1" s="10" t="s">
        <v>4</v>
      </c>
      <c r="G1" s="10" t="s">
        <v>5</v>
      </c>
      <c r="H1" s="12" t="s">
        <v>218</v>
      </c>
    </row>
    <row r="2" spans="1:10" x14ac:dyDescent="0.3">
      <c r="A2" s="1" t="s">
        <v>6</v>
      </c>
      <c r="B2" s="14">
        <v>7272</v>
      </c>
      <c r="C2" s="5">
        <v>3477</v>
      </c>
      <c r="D2" s="3">
        <v>10627.29</v>
      </c>
      <c r="E2" s="2">
        <v>1.4613985148514852</v>
      </c>
      <c r="F2" s="14">
        <v>111655</v>
      </c>
      <c r="G2" s="14">
        <v>1187</v>
      </c>
      <c r="H2" s="4">
        <v>0.16322882288228824</v>
      </c>
    </row>
    <row r="3" spans="1:10" x14ac:dyDescent="0.3">
      <c r="A3" s="1" t="s">
        <v>7</v>
      </c>
      <c r="B3" s="14">
        <v>9445</v>
      </c>
      <c r="C3" s="5">
        <v>2855</v>
      </c>
      <c r="D3" s="3">
        <v>14918.26</v>
      </c>
      <c r="E3" s="2">
        <v>1.5794875595553204</v>
      </c>
      <c r="F3" s="14">
        <v>119498</v>
      </c>
      <c r="G3" s="14">
        <v>1334</v>
      </c>
      <c r="H3" s="4">
        <v>0.14123875066172578</v>
      </c>
    </row>
    <row r="4" spans="1:10" x14ac:dyDescent="0.3">
      <c r="A4" s="1" t="s">
        <v>8</v>
      </c>
      <c r="B4" s="14">
        <v>7565</v>
      </c>
      <c r="C4" s="5">
        <v>3632</v>
      </c>
      <c r="D4" s="3">
        <v>11140.46</v>
      </c>
      <c r="E4" s="2">
        <v>1.4726318572372767</v>
      </c>
      <c r="F4" s="14">
        <v>90340</v>
      </c>
      <c r="G4" s="14">
        <v>1142</v>
      </c>
      <c r="H4" s="4">
        <v>0.15095836087243886</v>
      </c>
    </row>
    <row r="5" spans="1:10" x14ac:dyDescent="0.3">
      <c r="A5" s="1" t="s">
        <v>9</v>
      </c>
      <c r="B5" s="14">
        <v>7788</v>
      </c>
      <c r="C5" s="5">
        <v>3670</v>
      </c>
      <c r="D5" s="3">
        <v>10798.43</v>
      </c>
      <c r="E5" s="2">
        <v>1.3865472521828455</v>
      </c>
      <c r="F5" s="14">
        <v>100483</v>
      </c>
      <c r="G5" s="14">
        <v>1071</v>
      </c>
      <c r="H5" s="4">
        <v>0.13751926040061632</v>
      </c>
    </row>
    <row r="6" spans="1:10" x14ac:dyDescent="0.3">
      <c r="A6" s="1" t="s">
        <v>10</v>
      </c>
      <c r="B6" s="14">
        <v>10754</v>
      </c>
      <c r="C6" s="5">
        <v>3222</v>
      </c>
      <c r="D6" s="3">
        <v>15440.78</v>
      </c>
      <c r="E6" s="2">
        <v>1.4358173702808259</v>
      </c>
      <c r="F6" s="14">
        <v>101275</v>
      </c>
      <c r="G6" s="14">
        <v>1128</v>
      </c>
      <c r="H6" s="4">
        <v>0.10489120327320067</v>
      </c>
    </row>
    <row r="7" spans="1:10" x14ac:dyDescent="0.3">
      <c r="A7" s="1" t="s">
        <v>11</v>
      </c>
      <c r="B7" s="14">
        <v>7759</v>
      </c>
      <c r="C7" s="5">
        <v>2848</v>
      </c>
      <c r="D7" s="3">
        <v>10139.5</v>
      </c>
      <c r="E7" s="2">
        <v>1.306805000644413</v>
      </c>
      <c r="F7" s="14">
        <v>95775</v>
      </c>
      <c r="G7" s="14">
        <v>1125</v>
      </c>
      <c r="H7" s="4">
        <v>0.14499291145766208</v>
      </c>
    </row>
    <row r="8" spans="1:10" x14ac:dyDescent="0.3">
      <c r="A8" s="1" t="s">
        <v>12</v>
      </c>
      <c r="B8" s="14">
        <v>8714</v>
      </c>
      <c r="C8" s="5">
        <v>3036</v>
      </c>
      <c r="D8" s="3">
        <v>12915.31</v>
      </c>
      <c r="E8" s="2">
        <v>1.4821333486343813</v>
      </c>
      <c r="F8" s="14">
        <v>98409</v>
      </c>
      <c r="G8" s="14">
        <v>1220</v>
      </c>
      <c r="H8" s="4">
        <v>0.14000459031443654</v>
      </c>
    </row>
    <row r="9" spans="1:10" x14ac:dyDescent="0.3">
      <c r="A9" s="1" t="s">
        <v>13</v>
      </c>
      <c r="B9" s="14">
        <v>10436</v>
      </c>
      <c r="C9" s="5">
        <v>3069</v>
      </c>
      <c r="D9" s="3">
        <v>16677.46</v>
      </c>
      <c r="E9" s="2">
        <v>1.598070141816788</v>
      </c>
      <c r="F9" s="14">
        <v>101236</v>
      </c>
      <c r="G9" s="14">
        <v>1141</v>
      </c>
      <c r="H9" s="4">
        <v>0.10933307780758912</v>
      </c>
    </row>
    <row r="10" spans="1:10" x14ac:dyDescent="0.3">
      <c r="A10" s="1" t="s">
        <v>14</v>
      </c>
      <c r="B10" s="14">
        <v>7236</v>
      </c>
      <c r="C10" s="5">
        <v>3796</v>
      </c>
      <c r="D10" s="3">
        <v>10602.09</v>
      </c>
      <c r="E10" s="2">
        <v>1.4651865671641791</v>
      </c>
      <c r="F10" s="14">
        <v>90686</v>
      </c>
      <c r="G10" s="14">
        <v>1302</v>
      </c>
      <c r="H10" s="4">
        <v>0.17993366500829189</v>
      </c>
      <c r="J10" s="13"/>
    </row>
    <row r="11" spans="1:10" x14ac:dyDescent="0.3">
      <c r="A11" s="1" t="s">
        <v>15</v>
      </c>
      <c r="B11" s="14">
        <v>10158</v>
      </c>
      <c r="C11" s="5">
        <v>3353</v>
      </c>
      <c r="D11" s="3">
        <v>14947.65</v>
      </c>
      <c r="E11" s="2">
        <v>1.4715150620200828</v>
      </c>
      <c r="F11" s="14">
        <v>111354</v>
      </c>
      <c r="G11" s="14">
        <v>1180</v>
      </c>
      <c r="H11" s="4">
        <v>0.11616459933057688</v>
      </c>
    </row>
    <row r="12" spans="1:10" x14ac:dyDescent="0.3">
      <c r="A12" s="1" t="s">
        <v>16</v>
      </c>
      <c r="B12" s="14">
        <v>7257</v>
      </c>
      <c r="C12" s="5">
        <v>2890</v>
      </c>
      <c r="D12" s="3">
        <v>10812.99</v>
      </c>
      <c r="E12" s="2">
        <v>1.490008267879289</v>
      </c>
      <c r="F12" s="14">
        <v>92872</v>
      </c>
      <c r="G12" s="14">
        <v>1336</v>
      </c>
      <c r="H12" s="4">
        <v>0.18409811216756236</v>
      </c>
    </row>
    <row r="13" spans="1:10" x14ac:dyDescent="0.3">
      <c r="A13" s="1" t="s">
        <v>17</v>
      </c>
      <c r="B13" s="14">
        <v>9752</v>
      </c>
      <c r="C13" s="5">
        <v>3358</v>
      </c>
      <c r="D13" s="3">
        <v>14301.57</v>
      </c>
      <c r="E13" s="2">
        <v>1.4665268662838391</v>
      </c>
      <c r="F13" s="14">
        <v>107319</v>
      </c>
      <c r="G13" s="14">
        <v>1245</v>
      </c>
      <c r="H13" s="4">
        <v>0.12766611977030354</v>
      </c>
    </row>
    <row r="14" spans="1:10" x14ac:dyDescent="0.3">
      <c r="A14" s="1" t="s">
        <v>18</v>
      </c>
      <c r="B14" s="14">
        <v>7508</v>
      </c>
      <c r="C14" s="5">
        <v>3008</v>
      </c>
      <c r="D14" s="3">
        <v>11329.74</v>
      </c>
      <c r="E14" s="2">
        <v>1.5090223761321258</v>
      </c>
      <c r="F14" s="14">
        <v>103367</v>
      </c>
      <c r="G14" s="14">
        <v>1217</v>
      </c>
      <c r="H14" s="4">
        <v>0.16209376664890784</v>
      </c>
    </row>
    <row r="15" spans="1:10" x14ac:dyDescent="0.3">
      <c r="A15" s="1" t="s">
        <v>19</v>
      </c>
      <c r="B15" s="14">
        <v>9715</v>
      </c>
      <c r="C15" s="5">
        <v>3869</v>
      </c>
      <c r="D15" s="3">
        <v>14406.55</v>
      </c>
      <c r="E15" s="2">
        <v>1.4829181677817806</v>
      </c>
      <c r="F15" s="14">
        <v>92546</v>
      </c>
      <c r="G15" s="14">
        <v>1273</v>
      </c>
      <c r="H15" s="4">
        <v>0.1310344827586207</v>
      </c>
    </row>
    <row r="16" spans="1:10" x14ac:dyDescent="0.3">
      <c r="A16" s="1" t="s">
        <v>20</v>
      </c>
      <c r="B16" s="14">
        <v>8596</v>
      </c>
      <c r="C16" s="5">
        <v>3004</v>
      </c>
      <c r="D16" s="3">
        <v>13485.55</v>
      </c>
      <c r="E16" s="2">
        <v>1.5688168915774778</v>
      </c>
      <c r="F16" s="14">
        <v>102965</v>
      </c>
      <c r="G16" s="14">
        <v>1178</v>
      </c>
      <c r="H16" s="4">
        <v>0.13704048394602142</v>
      </c>
    </row>
    <row r="17" spans="1:8" x14ac:dyDescent="0.3">
      <c r="A17" s="1" t="s">
        <v>21</v>
      </c>
      <c r="B17" s="14">
        <v>9688</v>
      </c>
      <c r="C17" s="5">
        <v>2866</v>
      </c>
      <c r="D17" s="3">
        <v>14074.39</v>
      </c>
      <c r="E17" s="2">
        <v>1.4527652766308836</v>
      </c>
      <c r="F17" s="14">
        <v>106747</v>
      </c>
      <c r="G17" s="14">
        <v>1150</v>
      </c>
      <c r="H17" s="4">
        <v>0.11870355078447564</v>
      </c>
    </row>
    <row r="18" spans="1:8" x14ac:dyDescent="0.3">
      <c r="A18" s="1" t="s">
        <v>22</v>
      </c>
      <c r="B18" s="14">
        <v>7785</v>
      </c>
      <c r="C18" s="5">
        <v>2896</v>
      </c>
      <c r="D18" s="3">
        <v>10261.56</v>
      </c>
      <c r="E18" s="2">
        <v>1.3181194605009634</v>
      </c>
      <c r="F18" s="14">
        <v>101635</v>
      </c>
      <c r="G18" s="14">
        <v>1322</v>
      </c>
      <c r="H18" s="4">
        <v>0.16981374438021837</v>
      </c>
    </row>
    <row r="19" spans="1:8" x14ac:dyDescent="0.3">
      <c r="A19" s="1" t="s">
        <v>23</v>
      </c>
      <c r="B19" s="14">
        <v>9751</v>
      </c>
      <c r="C19" s="5">
        <v>3211</v>
      </c>
      <c r="D19" s="3">
        <v>15262.76</v>
      </c>
      <c r="E19" s="2">
        <v>1.5652507435134859</v>
      </c>
      <c r="F19" s="14">
        <v>118188</v>
      </c>
      <c r="G19" s="14">
        <v>1151</v>
      </c>
      <c r="H19" s="4">
        <v>0.11803917546918265</v>
      </c>
    </row>
    <row r="20" spans="1:8" x14ac:dyDescent="0.3">
      <c r="A20" s="1" t="s">
        <v>24</v>
      </c>
      <c r="B20" s="14">
        <v>8234</v>
      </c>
      <c r="C20" s="5">
        <v>2871</v>
      </c>
      <c r="D20" s="3">
        <v>12293.17</v>
      </c>
      <c r="E20" s="2">
        <v>1.4929766820500365</v>
      </c>
      <c r="F20" s="14">
        <v>106810</v>
      </c>
      <c r="G20" s="14">
        <v>1018</v>
      </c>
      <c r="H20" s="4">
        <v>0.12363371386932233</v>
      </c>
    </row>
    <row r="21" spans="1:8" x14ac:dyDescent="0.3">
      <c r="A21" s="1" t="s">
        <v>25</v>
      </c>
      <c r="B21" s="14">
        <v>10803</v>
      </c>
      <c r="C21" s="5">
        <v>3448</v>
      </c>
      <c r="D21" s="3">
        <v>16322.47</v>
      </c>
      <c r="E21" s="2">
        <v>1.5109201147829305</v>
      </c>
      <c r="F21" s="14">
        <v>107603</v>
      </c>
      <c r="G21" s="14">
        <v>1070</v>
      </c>
      <c r="H21" s="4">
        <v>9.9046561140423955E-2</v>
      </c>
    </row>
    <row r="22" spans="1:8" x14ac:dyDescent="0.3">
      <c r="A22" s="1" t="s">
        <v>26</v>
      </c>
      <c r="B22" s="14">
        <v>10294</v>
      </c>
      <c r="C22" s="5">
        <v>3871</v>
      </c>
      <c r="D22" s="3">
        <v>13769.66</v>
      </c>
      <c r="E22" s="2">
        <v>1.337639401593161</v>
      </c>
      <c r="F22" s="14">
        <v>90684</v>
      </c>
      <c r="G22" s="14">
        <v>1067</v>
      </c>
      <c r="H22" s="4">
        <v>0.10365261317272198</v>
      </c>
    </row>
    <row r="23" spans="1:8" x14ac:dyDescent="0.3">
      <c r="A23" s="1" t="s">
        <v>27</v>
      </c>
      <c r="B23" s="14">
        <v>8452</v>
      </c>
      <c r="C23" s="5">
        <v>3847</v>
      </c>
      <c r="D23" s="3">
        <v>13203.21</v>
      </c>
      <c r="E23" s="2">
        <v>1.5621403218173213</v>
      </c>
      <c r="F23" s="14">
        <v>94456</v>
      </c>
      <c r="G23" s="14">
        <v>1304</v>
      </c>
      <c r="H23" s="4">
        <v>0.1542830099384761</v>
      </c>
    </row>
    <row r="24" spans="1:8" x14ac:dyDescent="0.3">
      <c r="A24" s="1" t="s">
        <v>28</v>
      </c>
      <c r="B24" s="14">
        <v>10759</v>
      </c>
      <c r="C24" s="5">
        <v>3280</v>
      </c>
      <c r="D24" s="3">
        <v>15678.81</v>
      </c>
      <c r="E24" s="2">
        <v>1.4572739102147039</v>
      </c>
      <c r="F24" s="14">
        <v>115617</v>
      </c>
      <c r="G24" s="14">
        <v>1190</v>
      </c>
      <c r="H24" s="4">
        <v>0.11060507482108002</v>
      </c>
    </row>
    <row r="25" spans="1:8" x14ac:dyDescent="0.3">
      <c r="A25" s="1" t="s">
        <v>29</v>
      </c>
      <c r="B25" s="14">
        <v>9243</v>
      </c>
      <c r="C25" s="5">
        <v>3908</v>
      </c>
      <c r="D25" s="3">
        <v>13663.71</v>
      </c>
      <c r="E25" s="2">
        <v>1.4782765335929893</v>
      </c>
      <c r="F25" s="14">
        <v>113109</v>
      </c>
      <c r="G25" s="14">
        <v>1156</v>
      </c>
      <c r="H25" s="4">
        <v>0.1250676187385048</v>
      </c>
    </row>
    <row r="26" spans="1:8" x14ac:dyDescent="0.3">
      <c r="A26" s="1" t="s">
        <v>30</v>
      </c>
      <c r="B26" s="14">
        <v>9855</v>
      </c>
      <c r="C26" s="5">
        <v>2861</v>
      </c>
      <c r="D26" s="3">
        <v>14779.32</v>
      </c>
      <c r="E26" s="2">
        <v>1.4996773211567731</v>
      </c>
      <c r="F26" s="14">
        <v>102283</v>
      </c>
      <c r="G26" s="14">
        <v>1356</v>
      </c>
      <c r="H26" s="4">
        <v>0.13759512937595128</v>
      </c>
    </row>
    <row r="27" spans="1:8" x14ac:dyDescent="0.3">
      <c r="A27" s="1" t="s">
        <v>31</v>
      </c>
      <c r="B27" s="14">
        <v>8411</v>
      </c>
      <c r="C27" s="5">
        <v>3655</v>
      </c>
      <c r="D27" s="3">
        <v>10985.2</v>
      </c>
      <c r="E27" s="2">
        <v>1.3060515990964214</v>
      </c>
      <c r="F27" s="14">
        <v>107365</v>
      </c>
      <c r="G27" s="14">
        <v>1017</v>
      </c>
      <c r="H27" s="4">
        <v>0.12091309000118892</v>
      </c>
    </row>
    <row r="28" spans="1:8" x14ac:dyDescent="0.3">
      <c r="A28" s="1" t="s">
        <v>32</v>
      </c>
      <c r="B28" s="14">
        <v>8724</v>
      </c>
      <c r="C28" s="5">
        <v>3830</v>
      </c>
      <c r="D28" s="3">
        <v>12593.05</v>
      </c>
      <c r="E28" s="2">
        <v>1.443494956441999</v>
      </c>
      <c r="F28" s="14">
        <v>92578</v>
      </c>
      <c r="G28" s="14">
        <v>1228</v>
      </c>
      <c r="H28" s="4">
        <v>0.14076111875286565</v>
      </c>
    </row>
    <row r="29" spans="1:8" x14ac:dyDescent="0.3">
      <c r="A29" s="1" t="s">
        <v>33</v>
      </c>
      <c r="B29" s="14">
        <v>9804</v>
      </c>
      <c r="C29" s="5">
        <v>3297</v>
      </c>
      <c r="D29" s="3">
        <v>15569.24</v>
      </c>
      <c r="E29" s="2">
        <v>1.5880497756017951</v>
      </c>
      <c r="F29" s="14">
        <v>102178</v>
      </c>
      <c r="G29" s="14">
        <v>1261</v>
      </c>
      <c r="H29" s="4">
        <v>0.12862097103223175</v>
      </c>
    </row>
    <row r="30" spans="1:8" x14ac:dyDescent="0.3">
      <c r="A30" s="1" t="s">
        <v>34</v>
      </c>
      <c r="B30" s="14">
        <v>7942</v>
      </c>
      <c r="C30" s="5">
        <v>3937</v>
      </c>
      <c r="D30" s="3">
        <v>12571.95</v>
      </c>
      <c r="E30" s="2">
        <v>1.5829702845630824</v>
      </c>
      <c r="F30" s="14">
        <v>116080</v>
      </c>
      <c r="G30" s="14">
        <v>1359</v>
      </c>
      <c r="H30" s="4">
        <v>0.17111558801309493</v>
      </c>
    </row>
    <row r="31" spans="1:8" x14ac:dyDescent="0.3">
      <c r="A31" s="1" t="s">
        <v>35</v>
      </c>
      <c r="B31" s="14">
        <v>9112</v>
      </c>
      <c r="C31" s="5">
        <v>3921</v>
      </c>
      <c r="D31" s="3">
        <v>13641.56</v>
      </c>
      <c r="E31" s="2">
        <v>1.4970983318700615</v>
      </c>
      <c r="F31" s="14">
        <v>92884</v>
      </c>
      <c r="G31" s="14">
        <v>1042</v>
      </c>
      <c r="H31" s="4">
        <v>0.11435469710272168</v>
      </c>
    </row>
    <row r="32" spans="1:8" x14ac:dyDescent="0.3">
      <c r="A32" s="1" t="s">
        <v>36</v>
      </c>
      <c r="B32" s="14">
        <v>8096</v>
      </c>
      <c r="C32" s="5">
        <v>3545</v>
      </c>
      <c r="D32" s="3">
        <v>12832.51</v>
      </c>
      <c r="E32" s="2">
        <v>1.5850432312252964</v>
      </c>
      <c r="F32" s="14">
        <v>109913</v>
      </c>
      <c r="G32" s="14">
        <v>1394</v>
      </c>
      <c r="H32" s="4">
        <v>0.17218379446640317</v>
      </c>
    </row>
    <row r="33" spans="1:8" x14ac:dyDescent="0.3">
      <c r="A33" s="1" t="s">
        <v>37</v>
      </c>
      <c r="B33" s="14">
        <v>9862</v>
      </c>
      <c r="C33" s="5">
        <v>3554</v>
      </c>
      <c r="D33" s="3">
        <v>14504.29</v>
      </c>
      <c r="E33" s="2">
        <v>1.4707250050699656</v>
      </c>
      <c r="F33" s="14">
        <v>114247</v>
      </c>
      <c r="G33" s="14">
        <v>1364</v>
      </c>
      <c r="H33" s="4">
        <v>0.1383086595011154</v>
      </c>
    </row>
    <row r="34" spans="1:8" x14ac:dyDescent="0.3">
      <c r="A34" s="1" t="s">
        <v>38</v>
      </c>
      <c r="B34" s="14">
        <v>10493</v>
      </c>
      <c r="C34" s="5">
        <v>2801</v>
      </c>
      <c r="D34" s="3">
        <v>13651.38</v>
      </c>
      <c r="E34" s="2">
        <v>1.3009987610788143</v>
      </c>
      <c r="F34" s="14">
        <v>110749</v>
      </c>
      <c r="G34" s="14">
        <v>1359</v>
      </c>
      <c r="H34" s="4">
        <v>0.12951491470504145</v>
      </c>
    </row>
    <row r="35" spans="1:8" x14ac:dyDescent="0.3">
      <c r="A35" s="1" t="s">
        <v>39</v>
      </c>
      <c r="B35" s="14">
        <v>7732</v>
      </c>
      <c r="C35" s="5">
        <v>3966</v>
      </c>
      <c r="D35" s="3">
        <v>10731.68</v>
      </c>
      <c r="E35" s="2">
        <v>1.3879565442317641</v>
      </c>
      <c r="F35" s="14">
        <v>103115</v>
      </c>
      <c r="G35" s="14">
        <v>1245</v>
      </c>
      <c r="H35" s="4">
        <v>0.16101914123124678</v>
      </c>
    </row>
    <row r="36" spans="1:8" x14ac:dyDescent="0.3">
      <c r="A36" s="1" t="s">
        <v>40</v>
      </c>
      <c r="B36" s="14">
        <v>7736</v>
      </c>
      <c r="C36" s="5">
        <v>3858</v>
      </c>
      <c r="D36" s="3">
        <v>11778.9</v>
      </c>
      <c r="E36" s="2">
        <v>1.5226085832471561</v>
      </c>
      <c r="F36" s="14">
        <v>101370</v>
      </c>
      <c r="G36" s="14">
        <v>1272</v>
      </c>
      <c r="H36" s="4">
        <v>0.16442605997931747</v>
      </c>
    </row>
    <row r="37" spans="1:8" x14ac:dyDescent="0.3">
      <c r="A37" s="1" t="s">
        <v>41</v>
      </c>
      <c r="B37" s="14">
        <v>7149</v>
      </c>
      <c r="C37" s="5">
        <v>3953</v>
      </c>
      <c r="D37" s="3">
        <v>11413.56</v>
      </c>
      <c r="E37" s="2">
        <v>1.596525388166177</v>
      </c>
      <c r="F37" s="14">
        <v>105516</v>
      </c>
      <c r="G37" s="14">
        <v>1266</v>
      </c>
      <c r="H37" s="4">
        <v>0.17708770457406631</v>
      </c>
    </row>
    <row r="38" spans="1:8" x14ac:dyDescent="0.3">
      <c r="A38" s="1" t="s">
        <v>42</v>
      </c>
      <c r="B38" s="14">
        <v>9439</v>
      </c>
      <c r="C38" s="5">
        <v>3767</v>
      </c>
      <c r="D38" s="3">
        <v>15064.68</v>
      </c>
      <c r="E38" s="2">
        <v>1.5960038139633437</v>
      </c>
      <c r="F38" s="14">
        <v>116702</v>
      </c>
      <c r="G38" s="14">
        <v>1188</v>
      </c>
      <c r="H38" s="4">
        <v>0.12586079033795952</v>
      </c>
    </row>
    <row r="39" spans="1:8" x14ac:dyDescent="0.3">
      <c r="A39" s="1" t="s">
        <v>43</v>
      </c>
      <c r="B39" s="14">
        <v>7316</v>
      </c>
      <c r="C39" s="5">
        <v>3253</v>
      </c>
      <c r="D39" s="3">
        <v>10676.9</v>
      </c>
      <c r="E39" s="2">
        <v>1.4593903772553307</v>
      </c>
      <c r="F39" s="14">
        <v>95305</v>
      </c>
      <c r="G39" s="14">
        <v>1124</v>
      </c>
      <c r="H39" s="4">
        <v>0.15363586659376707</v>
      </c>
    </row>
    <row r="40" spans="1:8" x14ac:dyDescent="0.3">
      <c r="A40" s="1" t="s">
        <v>44</v>
      </c>
      <c r="B40" s="14">
        <v>8167</v>
      </c>
      <c r="C40" s="5">
        <v>2901</v>
      </c>
      <c r="D40" s="3">
        <v>12381.14</v>
      </c>
      <c r="E40" s="2">
        <v>1.5159960817925797</v>
      </c>
      <c r="F40" s="14">
        <v>114363</v>
      </c>
      <c r="G40" s="14">
        <v>1270</v>
      </c>
      <c r="H40" s="4">
        <v>0.15550385698542918</v>
      </c>
    </row>
    <row r="41" spans="1:8" x14ac:dyDescent="0.3">
      <c r="A41" s="1" t="s">
        <v>45</v>
      </c>
      <c r="B41" s="14">
        <v>10169</v>
      </c>
      <c r="C41" s="5">
        <v>2982</v>
      </c>
      <c r="D41" s="3">
        <v>14528.32</v>
      </c>
      <c r="E41" s="2">
        <v>1.4286871865473498</v>
      </c>
      <c r="F41" s="14">
        <v>115642</v>
      </c>
      <c r="G41" s="14">
        <v>1290</v>
      </c>
      <c r="H41" s="4">
        <v>0.12685613137968335</v>
      </c>
    </row>
    <row r="42" spans="1:8" x14ac:dyDescent="0.3">
      <c r="A42" s="1" t="s">
        <v>46</v>
      </c>
      <c r="B42" s="14">
        <v>9651</v>
      </c>
      <c r="C42" s="5">
        <v>3882</v>
      </c>
      <c r="D42" s="3">
        <v>13175.29</v>
      </c>
      <c r="E42" s="2">
        <v>1.3651735571443375</v>
      </c>
      <c r="F42" s="14">
        <v>110707</v>
      </c>
      <c r="G42" s="14">
        <v>1389</v>
      </c>
      <c r="H42" s="4">
        <v>0.14392290954305254</v>
      </c>
    </row>
    <row r="43" spans="1:8" x14ac:dyDescent="0.3">
      <c r="A43" s="1" t="s">
        <v>47</v>
      </c>
      <c r="B43" s="14">
        <v>9361</v>
      </c>
      <c r="C43" s="5">
        <v>3345</v>
      </c>
      <c r="D43" s="3">
        <v>12527.66</v>
      </c>
      <c r="E43" s="2">
        <v>1.338282234803974</v>
      </c>
      <c r="F43" s="14">
        <v>91413</v>
      </c>
      <c r="G43" s="14">
        <v>1188</v>
      </c>
      <c r="H43" s="4">
        <v>0.12690951821386603</v>
      </c>
    </row>
    <row r="44" spans="1:8" x14ac:dyDescent="0.3">
      <c r="A44" s="1" t="s">
        <v>48</v>
      </c>
      <c r="B44" s="14">
        <v>8751</v>
      </c>
      <c r="C44" s="5">
        <v>3047</v>
      </c>
      <c r="D44" s="3">
        <v>13002.94</v>
      </c>
      <c r="E44" s="2">
        <v>1.4858804708033369</v>
      </c>
      <c r="F44" s="14">
        <v>119098</v>
      </c>
      <c r="G44" s="14">
        <v>1007</v>
      </c>
      <c r="H44" s="4">
        <v>0.11507256313564164</v>
      </c>
    </row>
    <row r="45" spans="1:8" x14ac:dyDescent="0.3">
      <c r="A45" s="1" t="s">
        <v>49</v>
      </c>
      <c r="B45" s="14">
        <v>7034</v>
      </c>
      <c r="C45" s="5">
        <v>2909</v>
      </c>
      <c r="D45" s="3">
        <v>9330.18</v>
      </c>
      <c r="E45" s="2">
        <v>1.3264401478532841</v>
      </c>
      <c r="F45" s="14">
        <v>113263</v>
      </c>
      <c r="G45" s="14">
        <v>1110</v>
      </c>
      <c r="H45" s="4">
        <v>0.15780494739835088</v>
      </c>
    </row>
    <row r="46" spans="1:8" x14ac:dyDescent="0.3">
      <c r="A46" s="1" t="s">
        <v>50</v>
      </c>
      <c r="B46" s="14">
        <v>10708</v>
      </c>
      <c r="C46" s="5">
        <v>3437</v>
      </c>
      <c r="D46" s="3">
        <v>14740.25</v>
      </c>
      <c r="E46" s="2">
        <v>1.3765642510272693</v>
      </c>
      <c r="F46" s="14">
        <v>109785</v>
      </c>
      <c r="G46" s="14">
        <v>1000</v>
      </c>
      <c r="H46" s="4">
        <v>9.3388121031004856E-2</v>
      </c>
    </row>
    <row r="47" spans="1:8" x14ac:dyDescent="0.3">
      <c r="A47" s="1" t="s">
        <v>51</v>
      </c>
      <c r="B47" s="14">
        <v>10671</v>
      </c>
      <c r="C47" s="5">
        <v>3940</v>
      </c>
      <c r="D47" s="3">
        <v>16055.14</v>
      </c>
      <c r="E47" s="2">
        <v>1.5045581482522725</v>
      </c>
      <c r="F47" s="14">
        <v>118962</v>
      </c>
      <c r="G47" s="14">
        <v>1086</v>
      </c>
      <c r="H47" s="4">
        <v>0.10177115546809108</v>
      </c>
    </row>
    <row r="48" spans="1:8" x14ac:dyDescent="0.3">
      <c r="A48" s="1" t="s">
        <v>52</v>
      </c>
      <c r="B48" s="14">
        <v>7385</v>
      </c>
      <c r="C48" s="5">
        <v>3702</v>
      </c>
      <c r="D48" s="3">
        <v>11019.52</v>
      </c>
      <c r="E48" s="2">
        <v>1.492148950575491</v>
      </c>
      <c r="F48" s="14">
        <v>111562</v>
      </c>
      <c r="G48" s="14">
        <v>1259</v>
      </c>
      <c r="H48" s="4">
        <v>0.17048070412999322</v>
      </c>
    </row>
    <row r="49" spans="1:8" x14ac:dyDescent="0.3">
      <c r="A49" s="1" t="s">
        <v>53</v>
      </c>
      <c r="B49" s="14">
        <v>9877</v>
      </c>
      <c r="C49" s="5">
        <v>2865</v>
      </c>
      <c r="D49" s="3">
        <v>15657.5</v>
      </c>
      <c r="E49" s="2">
        <v>1.585248557254227</v>
      </c>
      <c r="F49" s="14">
        <v>102273</v>
      </c>
      <c r="G49" s="14">
        <v>1109</v>
      </c>
      <c r="H49" s="4">
        <v>0.1122810570011137</v>
      </c>
    </row>
    <row r="50" spans="1:8" x14ac:dyDescent="0.3">
      <c r="A50" s="1" t="s">
        <v>54</v>
      </c>
      <c r="B50" s="14">
        <v>10728</v>
      </c>
      <c r="C50" s="5">
        <v>3498</v>
      </c>
      <c r="D50" s="3">
        <v>16640.41</v>
      </c>
      <c r="E50" s="2">
        <v>1.5511195003728562</v>
      </c>
      <c r="F50" s="14">
        <v>111489</v>
      </c>
      <c r="G50" s="14">
        <v>1124</v>
      </c>
      <c r="H50" s="4">
        <v>0.10477255779269203</v>
      </c>
    </row>
    <row r="51" spans="1:8" x14ac:dyDescent="0.3">
      <c r="A51" s="1" t="s">
        <v>55</v>
      </c>
      <c r="B51" s="14">
        <v>8873</v>
      </c>
      <c r="C51" s="5">
        <v>2839</v>
      </c>
      <c r="D51" s="3">
        <v>12254.09</v>
      </c>
      <c r="E51" s="2">
        <v>1.3810537585934859</v>
      </c>
      <c r="F51" s="14">
        <v>119297</v>
      </c>
      <c r="G51" s="14">
        <v>1013</v>
      </c>
      <c r="H51" s="4">
        <v>0.11416657274878846</v>
      </c>
    </row>
    <row r="52" spans="1:8" x14ac:dyDescent="0.3">
      <c r="A52" s="1" t="s">
        <v>56</v>
      </c>
      <c r="B52" s="14">
        <v>8822</v>
      </c>
      <c r="C52" s="5">
        <v>2995</v>
      </c>
      <c r="D52" s="3">
        <v>11917.88</v>
      </c>
      <c r="E52" s="2">
        <v>1.3509272273860802</v>
      </c>
      <c r="F52" s="14">
        <v>102773</v>
      </c>
      <c r="G52" s="14">
        <v>1218</v>
      </c>
      <c r="H52" s="4">
        <v>0.13806393108138745</v>
      </c>
    </row>
    <row r="53" spans="1:8" x14ac:dyDescent="0.3">
      <c r="A53" s="1" t="s">
        <v>57</v>
      </c>
      <c r="B53" s="14">
        <v>10710</v>
      </c>
      <c r="C53" s="5">
        <v>3037</v>
      </c>
      <c r="D53" s="3">
        <v>14586.95</v>
      </c>
      <c r="E53" s="2">
        <v>1.3619934640522877</v>
      </c>
      <c r="F53" s="14">
        <v>100556</v>
      </c>
      <c r="G53" s="14">
        <v>1007</v>
      </c>
      <c r="H53" s="4">
        <v>9.4024276377217553E-2</v>
      </c>
    </row>
    <row r="54" spans="1:8" x14ac:dyDescent="0.3">
      <c r="A54" s="1" t="s">
        <v>58</v>
      </c>
      <c r="B54" s="14">
        <v>9679</v>
      </c>
      <c r="C54" s="5">
        <v>3150</v>
      </c>
      <c r="D54" s="3">
        <v>14352.35</v>
      </c>
      <c r="E54" s="2">
        <v>1.482833970451493</v>
      </c>
      <c r="F54" s="14">
        <v>104810</v>
      </c>
      <c r="G54" s="14">
        <v>1041</v>
      </c>
      <c r="H54" s="4">
        <v>0.10755243310259324</v>
      </c>
    </row>
    <row r="55" spans="1:8" x14ac:dyDescent="0.3">
      <c r="A55" s="1" t="s">
        <v>59</v>
      </c>
      <c r="B55" s="14">
        <v>7273</v>
      </c>
      <c r="C55" s="5">
        <v>3085</v>
      </c>
      <c r="D55" s="3">
        <v>10037.59</v>
      </c>
      <c r="E55" s="2">
        <v>1.3801168706173519</v>
      </c>
      <c r="F55" s="14">
        <v>98466</v>
      </c>
      <c r="G55" s="14">
        <v>1193</v>
      </c>
      <c r="H55" s="4">
        <v>0.16403134882441908</v>
      </c>
    </row>
    <row r="56" spans="1:8" x14ac:dyDescent="0.3">
      <c r="A56" s="1" t="s">
        <v>60</v>
      </c>
      <c r="B56" s="14">
        <v>10956</v>
      </c>
      <c r="C56" s="5">
        <v>3190</v>
      </c>
      <c r="D56" s="3">
        <v>14364.85</v>
      </c>
      <c r="E56" s="2">
        <v>1.3111400146038701</v>
      </c>
      <c r="F56" s="14">
        <v>111120</v>
      </c>
      <c r="G56" s="14">
        <v>1221</v>
      </c>
      <c r="H56" s="4">
        <v>0.11144578313253012</v>
      </c>
    </row>
    <row r="57" spans="1:8" x14ac:dyDescent="0.3">
      <c r="A57" s="1" t="s">
        <v>61</v>
      </c>
      <c r="B57" s="14">
        <v>8560</v>
      </c>
      <c r="C57" s="5">
        <v>3819</v>
      </c>
      <c r="D57" s="3">
        <v>12822.18</v>
      </c>
      <c r="E57" s="2">
        <v>1.4979182242990654</v>
      </c>
      <c r="F57" s="14">
        <v>105114</v>
      </c>
      <c r="G57" s="14">
        <v>1134</v>
      </c>
      <c r="H57" s="4">
        <v>0.1324766355140187</v>
      </c>
    </row>
    <row r="58" spans="1:8" x14ac:dyDescent="0.3">
      <c r="A58" s="1" t="s">
        <v>62</v>
      </c>
      <c r="B58" s="14">
        <v>8930</v>
      </c>
      <c r="C58" s="5">
        <v>3209</v>
      </c>
      <c r="D58" s="3">
        <v>12552.68</v>
      </c>
      <c r="E58" s="2">
        <v>1.4056752519596865</v>
      </c>
      <c r="F58" s="14">
        <v>90920</v>
      </c>
      <c r="G58" s="14">
        <v>1312</v>
      </c>
      <c r="H58" s="4">
        <v>0.14692049272116461</v>
      </c>
    </row>
    <row r="59" spans="1:8" x14ac:dyDescent="0.3">
      <c r="A59" s="1" t="s">
        <v>63</v>
      </c>
      <c r="B59" s="14">
        <v>9831</v>
      </c>
      <c r="C59" s="5">
        <v>3781</v>
      </c>
      <c r="D59" s="3">
        <v>14529.75</v>
      </c>
      <c r="E59" s="2">
        <v>1.4779523954836742</v>
      </c>
      <c r="F59" s="14">
        <v>113885</v>
      </c>
      <c r="G59" s="14">
        <v>1348</v>
      </c>
      <c r="H59" s="4">
        <v>0.13711728206693113</v>
      </c>
    </row>
    <row r="60" spans="1:8" x14ac:dyDescent="0.3">
      <c r="A60" s="1" t="s">
        <v>64</v>
      </c>
      <c r="B60" s="14">
        <v>8922</v>
      </c>
      <c r="C60" s="5">
        <v>3062</v>
      </c>
      <c r="D60" s="3">
        <v>13541.31</v>
      </c>
      <c r="E60" s="2">
        <v>1.5177437794216542</v>
      </c>
      <c r="F60" s="14">
        <v>91311</v>
      </c>
      <c r="G60" s="14">
        <v>1003</v>
      </c>
      <c r="H60" s="4">
        <v>0.11241874019278189</v>
      </c>
    </row>
    <row r="61" spans="1:8" x14ac:dyDescent="0.3">
      <c r="A61" s="1" t="s">
        <v>65</v>
      </c>
      <c r="B61" s="14">
        <v>10465</v>
      </c>
      <c r="C61" s="5">
        <v>3059</v>
      </c>
      <c r="D61" s="3">
        <v>15237.37</v>
      </c>
      <c r="E61" s="2">
        <v>1.4560315336837077</v>
      </c>
      <c r="F61" s="14">
        <v>95363</v>
      </c>
      <c r="G61" s="14">
        <v>1185</v>
      </c>
      <c r="H61" s="4">
        <v>0.11323459149546106</v>
      </c>
    </row>
    <row r="62" spans="1:8" x14ac:dyDescent="0.3">
      <c r="A62" s="1" t="s">
        <v>66</v>
      </c>
      <c r="B62" s="14">
        <v>10057</v>
      </c>
      <c r="C62" s="5">
        <v>3487</v>
      </c>
      <c r="D62" s="3">
        <v>13280.76</v>
      </c>
      <c r="E62" s="2">
        <v>1.3205488714328328</v>
      </c>
      <c r="F62" s="14">
        <v>116817</v>
      </c>
      <c r="G62" s="14">
        <v>1120</v>
      </c>
      <c r="H62" s="4">
        <v>0.11136521825594113</v>
      </c>
    </row>
    <row r="63" spans="1:8" x14ac:dyDescent="0.3">
      <c r="A63" s="1" t="s">
        <v>67</v>
      </c>
      <c r="B63" s="14">
        <v>9975</v>
      </c>
      <c r="C63" s="5">
        <v>3878</v>
      </c>
      <c r="D63" s="3">
        <v>13207.43</v>
      </c>
      <c r="E63" s="2">
        <v>1.3240531328320801</v>
      </c>
      <c r="F63" s="14">
        <v>96789</v>
      </c>
      <c r="G63" s="14">
        <v>1376</v>
      </c>
      <c r="H63" s="4">
        <v>0.13794486215538848</v>
      </c>
    </row>
    <row r="64" spans="1:8" x14ac:dyDescent="0.3">
      <c r="A64" s="1" t="s">
        <v>68</v>
      </c>
      <c r="B64" s="14">
        <v>9257</v>
      </c>
      <c r="C64" s="5">
        <v>2938</v>
      </c>
      <c r="D64" s="3">
        <v>13493.61</v>
      </c>
      <c r="E64" s="2">
        <v>1.4576655503942963</v>
      </c>
      <c r="F64" s="14">
        <v>106782</v>
      </c>
      <c r="G64" s="14">
        <v>1017</v>
      </c>
      <c r="H64" s="4">
        <v>0.10986280652479205</v>
      </c>
    </row>
    <row r="65" spans="1:8" x14ac:dyDescent="0.3">
      <c r="A65" s="1" t="s">
        <v>69</v>
      </c>
      <c r="B65" s="14">
        <v>8024</v>
      </c>
      <c r="C65" s="5">
        <v>3474</v>
      </c>
      <c r="D65" s="3">
        <v>12257.33</v>
      </c>
      <c r="E65" s="2">
        <v>1.5275834995014954</v>
      </c>
      <c r="F65" s="14">
        <v>109011</v>
      </c>
      <c r="G65" s="14">
        <v>1381</v>
      </c>
      <c r="H65" s="4">
        <v>0.17210867397806581</v>
      </c>
    </row>
    <row r="66" spans="1:8" x14ac:dyDescent="0.3">
      <c r="A66" s="1" t="s">
        <v>70</v>
      </c>
      <c r="B66" s="14">
        <v>8313</v>
      </c>
      <c r="C66" s="5">
        <v>3458</v>
      </c>
      <c r="D66" s="3">
        <v>13093.56</v>
      </c>
      <c r="E66" s="2">
        <v>1.575070371706965</v>
      </c>
      <c r="F66" s="14">
        <v>101225</v>
      </c>
      <c r="G66" s="14">
        <v>1302</v>
      </c>
      <c r="H66" s="4">
        <v>0.15662215806568025</v>
      </c>
    </row>
    <row r="67" spans="1:8" x14ac:dyDescent="0.3">
      <c r="A67" s="1" t="s">
        <v>71</v>
      </c>
      <c r="B67" s="14">
        <v>9501</v>
      </c>
      <c r="C67" s="5">
        <v>3216</v>
      </c>
      <c r="D67" s="3">
        <v>13778.4</v>
      </c>
      <c r="E67" s="2">
        <v>1.4502052415535207</v>
      </c>
      <c r="F67" s="14">
        <v>107949</v>
      </c>
      <c r="G67" s="14">
        <v>1224</v>
      </c>
      <c r="H67" s="4">
        <v>0.12882854436375119</v>
      </c>
    </row>
    <row r="68" spans="1:8" x14ac:dyDescent="0.3">
      <c r="A68" s="1" t="s">
        <v>72</v>
      </c>
      <c r="B68" s="14">
        <v>8395</v>
      </c>
      <c r="C68" s="5">
        <v>2902</v>
      </c>
      <c r="D68" s="3">
        <v>11292.45</v>
      </c>
      <c r="E68" s="2">
        <v>1.3451399642644433</v>
      </c>
      <c r="F68" s="14">
        <v>100524</v>
      </c>
      <c r="G68" s="14">
        <v>1239</v>
      </c>
      <c r="H68" s="4">
        <v>0.1475878499106611</v>
      </c>
    </row>
    <row r="69" spans="1:8" x14ac:dyDescent="0.3">
      <c r="A69" s="1" t="s">
        <v>73</v>
      </c>
      <c r="B69" s="14">
        <v>8752</v>
      </c>
      <c r="C69" s="5">
        <v>3788</v>
      </c>
      <c r="D69" s="3">
        <v>12396.24</v>
      </c>
      <c r="E69" s="2">
        <v>1.4163893967093235</v>
      </c>
      <c r="F69" s="14">
        <v>102433</v>
      </c>
      <c r="G69" s="14">
        <v>1048</v>
      </c>
      <c r="H69" s="4">
        <v>0.11974405850091407</v>
      </c>
    </row>
    <row r="70" spans="1:8" x14ac:dyDescent="0.3">
      <c r="A70" s="1" t="s">
        <v>74</v>
      </c>
      <c r="B70" s="14">
        <v>8418</v>
      </c>
      <c r="C70" s="5">
        <v>3597</v>
      </c>
      <c r="D70" s="3">
        <v>13065.11</v>
      </c>
      <c r="E70" s="2">
        <v>1.5520444286053696</v>
      </c>
      <c r="F70" s="14">
        <v>105103</v>
      </c>
      <c r="G70" s="14">
        <v>1232</v>
      </c>
      <c r="H70" s="4">
        <v>0.14635305298170587</v>
      </c>
    </row>
    <row r="71" spans="1:8" x14ac:dyDescent="0.3">
      <c r="A71" s="1" t="s">
        <v>75</v>
      </c>
      <c r="B71" s="14">
        <v>7123</v>
      </c>
      <c r="C71" s="5">
        <v>3335</v>
      </c>
      <c r="D71" s="3">
        <v>10672.32</v>
      </c>
      <c r="E71" s="2">
        <v>1.498290046328794</v>
      </c>
      <c r="F71" s="14">
        <v>94138</v>
      </c>
      <c r="G71" s="14">
        <v>1087</v>
      </c>
      <c r="H71" s="4">
        <v>0.15260423978660675</v>
      </c>
    </row>
    <row r="72" spans="1:8" x14ac:dyDescent="0.3">
      <c r="A72" s="1" t="s">
        <v>76</v>
      </c>
      <c r="B72" s="14">
        <v>7802</v>
      </c>
      <c r="C72" s="5">
        <v>3706</v>
      </c>
      <c r="D72" s="3">
        <v>11444.51</v>
      </c>
      <c r="E72" s="2">
        <v>1.4668687516021532</v>
      </c>
      <c r="F72" s="14">
        <v>114862</v>
      </c>
      <c r="G72" s="14">
        <v>1013</v>
      </c>
      <c r="H72" s="4">
        <v>0.12983850294796206</v>
      </c>
    </row>
    <row r="73" spans="1:8" x14ac:dyDescent="0.3">
      <c r="A73" s="1" t="s">
        <v>77</v>
      </c>
      <c r="B73" s="14">
        <v>9724</v>
      </c>
      <c r="C73" s="5">
        <v>3387</v>
      </c>
      <c r="D73" s="3">
        <v>14994.42</v>
      </c>
      <c r="E73" s="2">
        <v>1.5420012340600575</v>
      </c>
      <c r="F73" s="14">
        <v>110574</v>
      </c>
      <c r="G73" s="14">
        <v>1005</v>
      </c>
      <c r="H73" s="4">
        <v>0.10335252982311806</v>
      </c>
    </row>
    <row r="74" spans="1:8" x14ac:dyDescent="0.3">
      <c r="A74" s="1" t="s">
        <v>78</v>
      </c>
      <c r="B74" s="14">
        <v>10402</v>
      </c>
      <c r="C74" s="5">
        <v>3415</v>
      </c>
      <c r="D74" s="3">
        <v>14378.36</v>
      </c>
      <c r="E74" s="2">
        <v>1.3822687944626033</v>
      </c>
      <c r="F74" s="14">
        <v>97036</v>
      </c>
      <c r="G74" s="14">
        <v>1002</v>
      </c>
      <c r="H74" s="4">
        <v>9.6327629302057294E-2</v>
      </c>
    </row>
    <row r="75" spans="1:8" x14ac:dyDescent="0.3">
      <c r="A75" s="1" t="s">
        <v>79</v>
      </c>
      <c r="B75" s="14">
        <v>7962</v>
      </c>
      <c r="C75" s="5">
        <v>3861</v>
      </c>
      <c r="D75" s="3">
        <v>12124.63</v>
      </c>
      <c r="E75" s="2">
        <v>1.5228121075106755</v>
      </c>
      <c r="F75" s="14">
        <v>118432</v>
      </c>
      <c r="G75" s="14">
        <v>1221</v>
      </c>
      <c r="H75" s="4">
        <v>0.15335342878673699</v>
      </c>
    </row>
    <row r="76" spans="1:8" x14ac:dyDescent="0.3">
      <c r="A76" s="1" t="s">
        <v>80</v>
      </c>
      <c r="B76" s="14">
        <v>9066</v>
      </c>
      <c r="C76" s="5">
        <v>3233</v>
      </c>
      <c r="D76" s="3">
        <v>14475.3</v>
      </c>
      <c r="E76" s="2">
        <v>1.5966578424884181</v>
      </c>
      <c r="F76" s="14">
        <v>111389</v>
      </c>
      <c r="G76" s="14">
        <v>1330</v>
      </c>
      <c r="H76" s="4">
        <v>0.14670196337966027</v>
      </c>
    </row>
    <row r="77" spans="1:8" x14ac:dyDescent="0.3">
      <c r="A77" s="1" t="s">
        <v>81</v>
      </c>
      <c r="B77" s="14">
        <v>8763</v>
      </c>
      <c r="C77" s="5">
        <v>3441</v>
      </c>
      <c r="D77" s="3">
        <v>13092.2</v>
      </c>
      <c r="E77" s="2">
        <v>1.4940317242953327</v>
      </c>
      <c r="F77" s="14">
        <v>103739</v>
      </c>
      <c r="G77" s="14">
        <v>1236</v>
      </c>
      <c r="H77" s="4">
        <v>0.14104758644299897</v>
      </c>
    </row>
    <row r="78" spans="1:8" x14ac:dyDescent="0.3">
      <c r="A78" s="1" t="s">
        <v>82</v>
      </c>
      <c r="B78" s="14">
        <v>8377</v>
      </c>
      <c r="C78" s="5">
        <v>2995</v>
      </c>
      <c r="D78" s="3">
        <v>12999.54</v>
      </c>
      <c r="E78" s="2">
        <v>1.55181329831682</v>
      </c>
      <c r="F78" s="14">
        <v>108444</v>
      </c>
      <c r="G78" s="14">
        <v>1033</v>
      </c>
      <c r="H78" s="4">
        <v>0.12331383550196968</v>
      </c>
    </row>
    <row r="79" spans="1:8" x14ac:dyDescent="0.3">
      <c r="A79" s="1" t="s">
        <v>83</v>
      </c>
      <c r="B79" s="14">
        <v>8505</v>
      </c>
      <c r="C79" s="5">
        <v>3187</v>
      </c>
      <c r="D79" s="3">
        <v>11110.75</v>
      </c>
      <c r="E79" s="2">
        <v>1.3063786008230454</v>
      </c>
      <c r="F79" s="14">
        <v>116934</v>
      </c>
      <c r="G79" s="14">
        <v>1112</v>
      </c>
      <c r="H79" s="4">
        <v>0.13074661963550852</v>
      </c>
    </row>
    <row r="80" spans="1:8" x14ac:dyDescent="0.3">
      <c r="A80" s="1" t="s">
        <v>84</v>
      </c>
      <c r="B80" s="14">
        <v>7049</v>
      </c>
      <c r="C80" s="5">
        <v>3831</v>
      </c>
      <c r="D80" s="3">
        <v>10526.29</v>
      </c>
      <c r="E80" s="2">
        <v>1.493302596112924</v>
      </c>
      <c r="F80" s="14">
        <v>113154</v>
      </c>
      <c r="G80" s="14">
        <v>1197</v>
      </c>
      <c r="H80" s="4">
        <v>0.16981132075471697</v>
      </c>
    </row>
    <row r="81" spans="1:8" x14ac:dyDescent="0.3">
      <c r="A81" s="1" t="s">
        <v>85</v>
      </c>
      <c r="B81" s="14">
        <v>9255</v>
      </c>
      <c r="C81" s="5">
        <v>3081</v>
      </c>
      <c r="D81" s="3">
        <v>13141.71</v>
      </c>
      <c r="E81" s="2">
        <v>1.4199578606158831</v>
      </c>
      <c r="F81" s="14">
        <v>104803</v>
      </c>
      <c r="G81" s="14">
        <v>1026</v>
      </c>
      <c r="H81" s="4">
        <v>0.11085899513776337</v>
      </c>
    </row>
    <row r="82" spans="1:8" x14ac:dyDescent="0.3">
      <c r="A82" s="1" t="s">
        <v>86</v>
      </c>
      <c r="B82" s="14">
        <v>9105</v>
      </c>
      <c r="C82" s="5">
        <v>3245</v>
      </c>
      <c r="D82" s="3">
        <v>13367.89</v>
      </c>
      <c r="E82" s="2">
        <v>1.4681922020867655</v>
      </c>
      <c r="F82" s="14">
        <v>102068</v>
      </c>
      <c r="G82" s="14">
        <v>1045</v>
      </c>
      <c r="H82" s="4">
        <v>0.11477210323997804</v>
      </c>
    </row>
    <row r="83" spans="1:8" x14ac:dyDescent="0.3">
      <c r="A83" s="1" t="s">
        <v>87</v>
      </c>
      <c r="B83" s="14">
        <v>8535</v>
      </c>
      <c r="C83" s="5">
        <v>3513</v>
      </c>
      <c r="D83" s="3">
        <v>11406.06</v>
      </c>
      <c r="E83" s="2">
        <v>1.3363866432337435</v>
      </c>
      <c r="F83" s="14">
        <v>99105</v>
      </c>
      <c r="G83" s="14">
        <v>1255</v>
      </c>
      <c r="H83" s="4">
        <v>0.14704159343878148</v>
      </c>
    </row>
    <row r="84" spans="1:8" x14ac:dyDescent="0.3">
      <c r="A84" s="1" t="s">
        <v>88</v>
      </c>
      <c r="B84" s="14">
        <v>7844</v>
      </c>
      <c r="C84" s="5">
        <v>3380</v>
      </c>
      <c r="D84" s="3">
        <v>12441.31</v>
      </c>
      <c r="E84" s="2">
        <v>1.5860925548189699</v>
      </c>
      <c r="F84" s="14">
        <v>93808</v>
      </c>
      <c r="G84" s="14">
        <v>1102</v>
      </c>
      <c r="H84" s="4">
        <v>0.14048954614992351</v>
      </c>
    </row>
    <row r="85" spans="1:8" x14ac:dyDescent="0.3">
      <c r="A85" s="1" t="s">
        <v>89</v>
      </c>
      <c r="B85" s="14">
        <v>8032</v>
      </c>
      <c r="C85" s="5">
        <v>2801</v>
      </c>
      <c r="D85" s="3">
        <v>10489.9</v>
      </c>
      <c r="E85" s="2">
        <v>1.3060134462151394</v>
      </c>
      <c r="F85" s="14">
        <v>98729</v>
      </c>
      <c r="G85" s="14">
        <v>1394</v>
      </c>
      <c r="H85" s="4">
        <v>0.17355577689243029</v>
      </c>
    </row>
    <row r="86" spans="1:8" x14ac:dyDescent="0.3">
      <c r="A86" s="1" t="s">
        <v>90</v>
      </c>
      <c r="B86" s="14">
        <v>9290</v>
      </c>
      <c r="C86" s="5">
        <v>3023</v>
      </c>
      <c r="D86" s="3">
        <v>13594.27</v>
      </c>
      <c r="E86" s="2">
        <v>1.4633229278794404</v>
      </c>
      <c r="F86" s="14">
        <v>93725</v>
      </c>
      <c r="G86" s="14">
        <v>1340</v>
      </c>
      <c r="H86" s="4">
        <v>0.14424111948331539</v>
      </c>
    </row>
    <row r="87" spans="1:8" x14ac:dyDescent="0.3">
      <c r="A87" s="1" t="s">
        <v>91</v>
      </c>
      <c r="B87" s="14">
        <v>10493</v>
      </c>
      <c r="C87" s="5">
        <v>3912</v>
      </c>
      <c r="D87" s="3">
        <v>15116.79</v>
      </c>
      <c r="E87" s="2">
        <v>1.4406547221957495</v>
      </c>
      <c r="F87" s="14">
        <v>101901</v>
      </c>
      <c r="G87" s="14">
        <v>1092</v>
      </c>
      <c r="H87" s="4">
        <v>0.10406937958639093</v>
      </c>
    </row>
    <row r="88" spans="1:8" x14ac:dyDescent="0.3">
      <c r="A88" s="1" t="s">
        <v>92</v>
      </c>
      <c r="B88" s="14">
        <v>9816</v>
      </c>
      <c r="C88" s="5">
        <v>3402</v>
      </c>
      <c r="D88" s="3">
        <v>13569.6</v>
      </c>
      <c r="E88" s="2">
        <v>1.38239608801956</v>
      </c>
      <c r="F88" s="14">
        <v>106018</v>
      </c>
      <c r="G88" s="14">
        <v>1102</v>
      </c>
      <c r="H88" s="4">
        <v>0.11226568867155665</v>
      </c>
    </row>
    <row r="89" spans="1:8" x14ac:dyDescent="0.3">
      <c r="A89" s="1" t="s">
        <v>93</v>
      </c>
      <c r="B89" s="14">
        <v>8825</v>
      </c>
      <c r="C89" s="5">
        <v>3803</v>
      </c>
      <c r="D89" s="3">
        <v>13330.66</v>
      </c>
      <c r="E89" s="2">
        <v>1.5105563739376771</v>
      </c>
      <c r="F89" s="14">
        <v>92369</v>
      </c>
      <c r="G89" s="14">
        <v>1006</v>
      </c>
      <c r="H89" s="4">
        <v>0.1139943342776204</v>
      </c>
    </row>
    <row r="90" spans="1:8" x14ac:dyDescent="0.3">
      <c r="A90" s="1" t="s">
        <v>94</v>
      </c>
      <c r="B90" s="14">
        <v>10819</v>
      </c>
      <c r="C90" s="5">
        <v>3788</v>
      </c>
      <c r="D90" s="3">
        <v>16382.21</v>
      </c>
      <c r="E90" s="2">
        <v>1.5142074128847398</v>
      </c>
      <c r="F90" s="14">
        <v>111392</v>
      </c>
      <c r="G90" s="14">
        <v>1173</v>
      </c>
      <c r="H90" s="4">
        <v>0.10842037156853683</v>
      </c>
    </row>
    <row r="91" spans="1:8" x14ac:dyDescent="0.3">
      <c r="A91" s="1" t="s">
        <v>95</v>
      </c>
      <c r="B91" s="14">
        <v>7207</v>
      </c>
      <c r="C91" s="5">
        <v>3446</v>
      </c>
      <c r="D91" s="3">
        <v>10969.61</v>
      </c>
      <c r="E91" s="2">
        <v>1.5220771472179826</v>
      </c>
      <c r="F91" s="14">
        <v>107730</v>
      </c>
      <c r="G91" s="14">
        <v>1115</v>
      </c>
      <c r="H91" s="4">
        <v>0.15471069793256556</v>
      </c>
    </row>
    <row r="92" spans="1:8" x14ac:dyDescent="0.3">
      <c r="A92" s="1" t="s">
        <v>96</v>
      </c>
      <c r="B92" s="14">
        <v>8575</v>
      </c>
      <c r="C92" s="5">
        <v>3053</v>
      </c>
      <c r="D92" s="3">
        <v>11783.08</v>
      </c>
      <c r="E92" s="2">
        <v>1.3741201166180759</v>
      </c>
      <c r="F92" s="14">
        <v>114059</v>
      </c>
      <c r="G92" s="14">
        <v>1210</v>
      </c>
      <c r="H92" s="4">
        <v>0.14110787172011663</v>
      </c>
    </row>
    <row r="93" spans="1:8" x14ac:dyDescent="0.3">
      <c r="A93" s="1" t="s">
        <v>97</v>
      </c>
      <c r="B93" s="14">
        <v>10081</v>
      </c>
      <c r="C93" s="5">
        <v>3990</v>
      </c>
      <c r="D93" s="3">
        <v>14840.28</v>
      </c>
      <c r="E93" s="2">
        <v>1.4721039579406805</v>
      </c>
      <c r="F93" s="14">
        <v>98957</v>
      </c>
      <c r="G93" s="14">
        <v>1293</v>
      </c>
      <c r="H93" s="4">
        <v>0.12826108520980062</v>
      </c>
    </row>
    <row r="94" spans="1:8" x14ac:dyDescent="0.3">
      <c r="A94" s="1" t="s">
        <v>98</v>
      </c>
      <c r="B94" s="14">
        <v>10636</v>
      </c>
      <c r="C94" s="5">
        <v>3484</v>
      </c>
      <c r="D94" s="3">
        <v>15997.05</v>
      </c>
      <c r="E94" s="2">
        <v>1.5040475742760435</v>
      </c>
      <c r="F94" s="14">
        <v>90318</v>
      </c>
      <c r="G94" s="14">
        <v>1354</v>
      </c>
      <c r="H94" s="4">
        <v>0.12730349755547199</v>
      </c>
    </row>
    <row r="95" spans="1:8" x14ac:dyDescent="0.3">
      <c r="A95" s="1" t="s">
        <v>99</v>
      </c>
      <c r="B95" s="14">
        <v>8488</v>
      </c>
      <c r="C95" s="5">
        <v>3336</v>
      </c>
      <c r="D95" s="3">
        <v>11887.25</v>
      </c>
      <c r="E95" s="2">
        <v>1.4004771442035815</v>
      </c>
      <c r="F95" s="14">
        <v>99131</v>
      </c>
      <c r="G95" s="14">
        <v>1357</v>
      </c>
      <c r="H95" s="4">
        <v>0.15987276154571159</v>
      </c>
    </row>
    <row r="96" spans="1:8" x14ac:dyDescent="0.3">
      <c r="A96" s="1" t="s">
        <v>100</v>
      </c>
      <c r="B96" s="14">
        <v>7876</v>
      </c>
      <c r="C96" s="5">
        <v>3482</v>
      </c>
      <c r="D96" s="3">
        <v>10245.1</v>
      </c>
      <c r="E96" s="2">
        <v>1.3007998984255968</v>
      </c>
      <c r="F96" s="14">
        <v>93448</v>
      </c>
      <c r="G96" s="14">
        <v>1229</v>
      </c>
      <c r="H96" s="4">
        <v>0.15604367699339766</v>
      </c>
    </row>
    <row r="97" spans="1:8" x14ac:dyDescent="0.3">
      <c r="A97" s="1" t="s">
        <v>101</v>
      </c>
      <c r="B97" s="14">
        <v>7662</v>
      </c>
      <c r="C97" s="5">
        <v>3974</v>
      </c>
      <c r="D97" s="3">
        <v>10026.93</v>
      </c>
      <c r="E97" s="2">
        <v>1.3086570086139389</v>
      </c>
      <c r="F97" s="14">
        <v>111290</v>
      </c>
      <c r="G97" s="14">
        <v>1121</v>
      </c>
      <c r="H97" s="4">
        <v>0.14630644740276691</v>
      </c>
    </row>
    <row r="98" spans="1:8" x14ac:dyDescent="0.3">
      <c r="A98" s="1" t="s">
        <v>102</v>
      </c>
      <c r="B98" s="14">
        <v>8339</v>
      </c>
      <c r="C98" s="5">
        <v>3240</v>
      </c>
      <c r="D98" s="3">
        <v>12680.46</v>
      </c>
      <c r="E98" s="2">
        <v>1.5206211775992324</v>
      </c>
      <c r="F98" s="14">
        <v>100624</v>
      </c>
      <c r="G98" s="14">
        <v>1066</v>
      </c>
      <c r="H98" s="4">
        <v>0.12783307351001319</v>
      </c>
    </row>
    <row r="99" spans="1:8" x14ac:dyDescent="0.3">
      <c r="A99" s="1" t="s">
        <v>103</v>
      </c>
      <c r="B99" s="14">
        <v>9165</v>
      </c>
      <c r="C99" s="5">
        <v>2985</v>
      </c>
      <c r="D99" s="3">
        <v>14584.34</v>
      </c>
      <c r="E99" s="2">
        <v>1.5913082378614294</v>
      </c>
      <c r="F99" s="14">
        <v>108483</v>
      </c>
      <c r="G99" s="14">
        <v>1097</v>
      </c>
      <c r="H99" s="4">
        <v>0.11969448990725587</v>
      </c>
    </row>
    <row r="100" spans="1:8" x14ac:dyDescent="0.3">
      <c r="A100" s="1" t="s">
        <v>104</v>
      </c>
      <c r="B100" s="14">
        <v>9769</v>
      </c>
      <c r="C100" s="5">
        <v>3025</v>
      </c>
      <c r="D100" s="3">
        <v>12742.38</v>
      </c>
      <c r="E100" s="2">
        <v>1.3043689221005219</v>
      </c>
      <c r="F100" s="14">
        <v>102742</v>
      </c>
      <c r="G100" s="14">
        <v>1329</v>
      </c>
      <c r="H100" s="4">
        <v>0.13604258368307912</v>
      </c>
    </row>
    <row r="101" spans="1:8" x14ac:dyDescent="0.3">
      <c r="A101" s="1" t="s">
        <v>105</v>
      </c>
      <c r="B101" s="14">
        <v>7638</v>
      </c>
      <c r="C101" s="5">
        <v>3923</v>
      </c>
      <c r="D101" s="3">
        <v>10167.68</v>
      </c>
      <c r="E101" s="2">
        <v>1.331196648337261</v>
      </c>
      <c r="F101" s="14">
        <v>104505</v>
      </c>
      <c r="G101" s="14">
        <v>1375</v>
      </c>
      <c r="H101" s="4">
        <v>0.18002094789211837</v>
      </c>
    </row>
    <row r="102" spans="1:8" x14ac:dyDescent="0.3">
      <c r="A102" s="1" t="s">
        <v>106</v>
      </c>
      <c r="B102" s="14">
        <v>7490</v>
      </c>
      <c r="C102" s="5">
        <v>3469</v>
      </c>
      <c r="D102" s="3">
        <v>10933.8</v>
      </c>
      <c r="E102" s="2">
        <v>1.4597863818424566</v>
      </c>
      <c r="F102" s="14">
        <v>111439</v>
      </c>
      <c r="G102" s="14">
        <v>1302</v>
      </c>
      <c r="H102" s="4">
        <v>0.17383177570093458</v>
      </c>
    </row>
    <row r="103" spans="1:8" x14ac:dyDescent="0.3">
      <c r="A103" s="1" t="s">
        <v>107</v>
      </c>
      <c r="B103" s="14">
        <v>7756</v>
      </c>
      <c r="C103" s="5">
        <v>3114</v>
      </c>
      <c r="D103" s="3">
        <v>10225.219999999999</v>
      </c>
      <c r="E103" s="2">
        <v>1.3183625580195977</v>
      </c>
      <c r="F103" s="14">
        <v>90279</v>
      </c>
      <c r="G103" s="14">
        <v>1125</v>
      </c>
      <c r="H103" s="4">
        <v>0.14504899432697266</v>
      </c>
    </row>
    <row r="104" spans="1:8" x14ac:dyDescent="0.3">
      <c r="A104" s="1" t="s">
        <v>108</v>
      </c>
      <c r="B104" s="14">
        <v>10921</v>
      </c>
      <c r="C104" s="5">
        <v>3886</v>
      </c>
      <c r="D104" s="3">
        <v>15349.44</v>
      </c>
      <c r="E104" s="2">
        <v>1.4054976650489883</v>
      </c>
      <c r="F104" s="14">
        <v>97729</v>
      </c>
      <c r="G104" s="14">
        <v>1307</v>
      </c>
      <c r="H104" s="4">
        <v>0.11967768519366358</v>
      </c>
    </row>
    <row r="105" spans="1:8" x14ac:dyDescent="0.3">
      <c r="A105" s="1" t="s">
        <v>109</v>
      </c>
      <c r="B105" s="14">
        <v>10316</v>
      </c>
      <c r="C105" s="5">
        <v>3123</v>
      </c>
      <c r="D105" s="3">
        <v>14293</v>
      </c>
      <c r="E105" s="2">
        <v>1.3855176424970919</v>
      </c>
      <c r="F105" s="14">
        <v>108318</v>
      </c>
      <c r="G105" s="14">
        <v>1237</v>
      </c>
      <c r="H105" s="4">
        <v>0.11991081814656844</v>
      </c>
    </row>
    <row r="106" spans="1:8" x14ac:dyDescent="0.3">
      <c r="A106" s="1" t="s">
        <v>110</v>
      </c>
      <c r="B106" s="14">
        <v>8305</v>
      </c>
      <c r="C106" s="5">
        <v>3814</v>
      </c>
      <c r="D106" s="3">
        <v>11094.2</v>
      </c>
      <c r="E106" s="2">
        <v>1.3358458759783265</v>
      </c>
      <c r="F106" s="14">
        <v>101477</v>
      </c>
      <c r="G106" s="14">
        <v>1013</v>
      </c>
      <c r="H106" s="4">
        <v>0.12197471402769416</v>
      </c>
    </row>
    <row r="107" spans="1:8" x14ac:dyDescent="0.3">
      <c r="A107" s="1" t="s">
        <v>111</v>
      </c>
      <c r="B107" s="14">
        <v>10829</v>
      </c>
      <c r="C107" s="5">
        <v>3782</v>
      </c>
      <c r="D107" s="3">
        <v>16424.32</v>
      </c>
      <c r="E107" s="2">
        <v>1.5166977560254871</v>
      </c>
      <c r="F107" s="14">
        <v>91267</v>
      </c>
      <c r="G107" s="14">
        <v>1045</v>
      </c>
      <c r="H107" s="4">
        <v>9.6500138516945236E-2</v>
      </c>
    </row>
    <row r="108" spans="1:8" x14ac:dyDescent="0.3">
      <c r="A108" s="1" t="s">
        <v>112</v>
      </c>
      <c r="B108" s="14">
        <v>10111</v>
      </c>
      <c r="C108" s="5">
        <v>3216</v>
      </c>
      <c r="D108" s="3">
        <v>13984.56</v>
      </c>
      <c r="E108" s="2">
        <v>1.3831035505884679</v>
      </c>
      <c r="F108" s="14">
        <v>90305</v>
      </c>
      <c r="G108" s="14">
        <v>1007</v>
      </c>
      <c r="H108" s="4">
        <v>9.9594501038472949E-2</v>
      </c>
    </row>
    <row r="109" spans="1:8" x14ac:dyDescent="0.3">
      <c r="A109" s="1" t="s">
        <v>113</v>
      </c>
      <c r="B109" s="14">
        <v>10394</v>
      </c>
      <c r="C109" s="5">
        <v>3255</v>
      </c>
      <c r="D109" s="3">
        <v>15681.56</v>
      </c>
      <c r="E109" s="2">
        <v>1.5087127188762748</v>
      </c>
      <c r="F109" s="14">
        <v>96453</v>
      </c>
      <c r="G109" s="14">
        <v>1395</v>
      </c>
      <c r="H109" s="4">
        <v>0.13421204541081394</v>
      </c>
    </row>
    <row r="110" spans="1:8" x14ac:dyDescent="0.3">
      <c r="A110" s="1" t="s">
        <v>114</v>
      </c>
      <c r="B110" s="14">
        <v>10979</v>
      </c>
      <c r="C110" s="5">
        <v>3243</v>
      </c>
      <c r="D110" s="3">
        <v>15578.84</v>
      </c>
      <c r="E110" s="2">
        <v>1.4189671190454505</v>
      </c>
      <c r="F110" s="14">
        <v>103858</v>
      </c>
      <c r="G110" s="14">
        <v>1300</v>
      </c>
      <c r="H110" s="4">
        <v>0.11840786956917752</v>
      </c>
    </row>
    <row r="111" spans="1:8" x14ac:dyDescent="0.3">
      <c r="A111" s="1" t="s">
        <v>115</v>
      </c>
      <c r="B111" s="14">
        <v>7857</v>
      </c>
      <c r="C111" s="5">
        <v>3022</v>
      </c>
      <c r="D111" s="3">
        <v>11014.24</v>
      </c>
      <c r="E111" s="2">
        <v>1.4018378515973018</v>
      </c>
      <c r="F111" s="14">
        <v>117455</v>
      </c>
      <c r="G111" s="14">
        <v>1183</v>
      </c>
      <c r="H111" s="4">
        <v>0.15056637393407152</v>
      </c>
    </row>
    <row r="112" spans="1:8" x14ac:dyDescent="0.3">
      <c r="A112" s="1" t="s">
        <v>116</v>
      </c>
      <c r="B112" s="14">
        <v>9884</v>
      </c>
      <c r="C112" s="5">
        <v>3473</v>
      </c>
      <c r="D112" s="3">
        <v>13545.26</v>
      </c>
      <c r="E112" s="2">
        <v>1.3704229057061919</v>
      </c>
      <c r="F112" s="14">
        <v>97936</v>
      </c>
      <c r="G112" s="14">
        <v>1313</v>
      </c>
      <c r="H112" s="4">
        <v>0.13284095507891541</v>
      </c>
    </row>
    <row r="113" spans="1:8" x14ac:dyDescent="0.3">
      <c r="A113" s="1" t="s">
        <v>117</v>
      </c>
      <c r="B113" s="14">
        <v>9759</v>
      </c>
      <c r="C113" s="5">
        <v>2968</v>
      </c>
      <c r="D113" s="3">
        <v>13371.42</v>
      </c>
      <c r="E113" s="2">
        <v>1.3701629265293576</v>
      </c>
      <c r="F113" s="14">
        <v>101747</v>
      </c>
      <c r="G113" s="14">
        <v>1321</v>
      </c>
      <c r="H113" s="4">
        <v>0.13536222973665335</v>
      </c>
    </row>
    <row r="114" spans="1:8" x14ac:dyDescent="0.3">
      <c r="A114" s="1" t="s">
        <v>118</v>
      </c>
      <c r="B114" s="14">
        <v>9193</v>
      </c>
      <c r="C114" s="5">
        <v>3606</v>
      </c>
      <c r="D114" s="3">
        <v>13850.95</v>
      </c>
      <c r="E114" s="2">
        <v>1.5066844338083325</v>
      </c>
      <c r="F114" s="14">
        <v>116264</v>
      </c>
      <c r="G114" s="14">
        <v>1244</v>
      </c>
      <c r="H114" s="4">
        <v>0.13532035244207549</v>
      </c>
    </row>
    <row r="115" spans="1:8" x14ac:dyDescent="0.3">
      <c r="A115" s="1" t="s">
        <v>119</v>
      </c>
      <c r="B115" s="14">
        <v>8781</v>
      </c>
      <c r="C115" s="5">
        <v>3851</v>
      </c>
      <c r="D115" s="3">
        <v>11724.76</v>
      </c>
      <c r="E115" s="2">
        <v>1.3352419997722356</v>
      </c>
      <c r="F115" s="14">
        <v>113419</v>
      </c>
      <c r="G115" s="14">
        <v>1192</v>
      </c>
      <c r="H115" s="4">
        <v>0.13574763694340053</v>
      </c>
    </row>
    <row r="116" spans="1:8" x14ac:dyDescent="0.3">
      <c r="A116" s="1" t="s">
        <v>120</v>
      </c>
      <c r="B116" s="14">
        <v>10569</v>
      </c>
      <c r="C116" s="5">
        <v>3561</v>
      </c>
      <c r="D116" s="3">
        <v>14769.51</v>
      </c>
      <c r="E116" s="2">
        <v>1.3974368435992053</v>
      </c>
      <c r="F116" s="14">
        <v>96151</v>
      </c>
      <c r="G116" s="14">
        <v>1349</v>
      </c>
      <c r="H116" s="4">
        <v>0.12763743022045604</v>
      </c>
    </row>
    <row r="117" spans="1:8" x14ac:dyDescent="0.3">
      <c r="A117" s="1" t="s">
        <v>121</v>
      </c>
      <c r="B117" s="14">
        <v>7424</v>
      </c>
      <c r="C117" s="5">
        <v>3602</v>
      </c>
      <c r="D117" s="3">
        <v>9892.5</v>
      </c>
      <c r="E117" s="2">
        <v>1.3325026939655173</v>
      </c>
      <c r="F117" s="14">
        <v>104900</v>
      </c>
      <c r="G117" s="14">
        <v>1216</v>
      </c>
      <c r="H117" s="4">
        <v>0.16379310344827586</v>
      </c>
    </row>
    <row r="118" spans="1:8" x14ac:dyDescent="0.3">
      <c r="A118" s="1" t="s">
        <v>122</v>
      </c>
      <c r="B118" s="14">
        <v>8885</v>
      </c>
      <c r="C118" s="5">
        <v>3672</v>
      </c>
      <c r="D118" s="3">
        <v>13861.46</v>
      </c>
      <c r="E118" s="2">
        <v>1.5600967923466516</v>
      </c>
      <c r="F118" s="14">
        <v>102179</v>
      </c>
      <c r="G118" s="14">
        <v>1297</v>
      </c>
      <c r="H118" s="4">
        <v>0.14597636465953856</v>
      </c>
    </row>
    <row r="119" spans="1:8" x14ac:dyDescent="0.3">
      <c r="A119" s="1" t="s">
        <v>123</v>
      </c>
      <c r="B119" s="14">
        <v>7614</v>
      </c>
      <c r="C119" s="5">
        <v>2830</v>
      </c>
      <c r="D119" s="3">
        <v>10905.44</v>
      </c>
      <c r="E119" s="2">
        <v>1.4322878907276071</v>
      </c>
      <c r="F119" s="14">
        <v>115924</v>
      </c>
      <c r="G119" s="14">
        <v>1154</v>
      </c>
      <c r="H119" s="4">
        <v>0.15156291042815864</v>
      </c>
    </row>
    <row r="120" spans="1:8" x14ac:dyDescent="0.3">
      <c r="A120" s="1" t="s">
        <v>124</v>
      </c>
      <c r="B120" s="14">
        <v>8440</v>
      </c>
      <c r="C120" s="5">
        <v>3740</v>
      </c>
      <c r="D120" s="3">
        <v>13192.8</v>
      </c>
      <c r="E120" s="2">
        <v>1.563127962085308</v>
      </c>
      <c r="F120" s="14">
        <v>99213</v>
      </c>
      <c r="G120" s="14">
        <v>1262</v>
      </c>
      <c r="H120" s="4">
        <v>0.14952606635071089</v>
      </c>
    </row>
    <row r="121" spans="1:8" x14ac:dyDescent="0.3">
      <c r="A121" s="1" t="s">
        <v>125</v>
      </c>
      <c r="B121" s="14">
        <v>9542</v>
      </c>
      <c r="C121" s="5">
        <v>3774</v>
      </c>
      <c r="D121" s="3">
        <v>14885.8</v>
      </c>
      <c r="E121" s="2">
        <v>1.5600293439530497</v>
      </c>
      <c r="F121" s="14">
        <v>108156</v>
      </c>
      <c r="G121" s="14">
        <v>1223</v>
      </c>
      <c r="H121" s="4">
        <v>0.12817019492768811</v>
      </c>
    </row>
    <row r="122" spans="1:8" x14ac:dyDescent="0.3">
      <c r="A122" s="1" t="s">
        <v>126</v>
      </c>
      <c r="B122" s="14">
        <v>9550</v>
      </c>
      <c r="C122" s="5">
        <v>2930</v>
      </c>
      <c r="D122" s="3">
        <v>14299.61</v>
      </c>
      <c r="E122" s="2">
        <v>1.4973413612565445</v>
      </c>
      <c r="F122" s="14">
        <v>97135</v>
      </c>
      <c r="G122" s="14">
        <v>1383</v>
      </c>
      <c r="H122" s="4">
        <v>0.14481675392670157</v>
      </c>
    </row>
    <row r="123" spans="1:8" x14ac:dyDescent="0.3">
      <c r="A123" s="1" t="s">
        <v>127</v>
      </c>
      <c r="B123" s="14">
        <v>9622</v>
      </c>
      <c r="C123" s="5">
        <v>3058</v>
      </c>
      <c r="D123" s="3">
        <v>13298.31</v>
      </c>
      <c r="E123" s="2">
        <v>1.3820733735190189</v>
      </c>
      <c r="F123" s="14">
        <v>102454</v>
      </c>
      <c r="G123" s="14">
        <v>1042</v>
      </c>
      <c r="H123" s="4">
        <v>0.10829349407607566</v>
      </c>
    </row>
    <row r="124" spans="1:8" x14ac:dyDescent="0.3">
      <c r="A124" s="1" t="s">
        <v>128</v>
      </c>
      <c r="B124" s="14">
        <v>8527</v>
      </c>
      <c r="C124" s="5">
        <v>3260</v>
      </c>
      <c r="D124" s="3">
        <v>13475.13</v>
      </c>
      <c r="E124" s="2">
        <v>1.5802896681130525</v>
      </c>
      <c r="F124" s="14">
        <v>99512</v>
      </c>
      <c r="G124" s="14">
        <v>1374</v>
      </c>
      <c r="H124" s="4">
        <v>0.16113521754427113</v>
      </c>
    </row>
    <row r="125" spans="1:8" x14ac:dyDescent="0.3">
      <c r="A125" s="1" t="s">
        <v>129</v>
      </c>
      <c r="B125" s="14">
        <v>9935</v>
      </c>
      <c r="C125" s="5">
        <v>3060</v>
      </c>
      <c r="D125" s="3">
        <v>14320.2</v>
      </c>
      <c r="E125" s="2">
        <v>1.4413890286864621</v>
      </c>
      <c r="F125" s="14">
        <v>100446</v>
      </c>
      <c r="G125" s="14">
        <v>1221</v>
      </c>
      <c r="H125" s="4">
        <v>0.12289884247609462</v>
      </c>
    </row>
    <row r="126" spans="1:8" x14ac:dyDescent="0.3">
      <c r="A126" s="1" t="s">
        <v>130</v>
      </c>
      <c r="B126" s="14">
        <v>10727</v>
      </c>
      <c r="C126" s="5">
        <v>2908</v>
      </c>
      <c r="D126" s="3">
        <v>14950.48</v>
      </c>
      <c r="E126" s="2">
        <v>1.3937242472266245</v>
      </c>
      <c r="F126" s="14">
        <v>107256</v>
      </c>
      <c r="G126" s="14">
        <v>1256</v>
      </c>
      <c r="H126" s="4">
        <v>0.11708772256921786</v>
      </c>
    </row>
    <row r="127" spans="1:8" x14ac:dyDescent="0.3">
      <c r="A127" s="1" t="s">
        <v>131</v>
      </c>
      <c r="B127" s="14">
        <v>8450</v>
      </c>
      <c r="C127" s="5">
        <v>2921</v>
      </c>
      <c r="D127" s="3">
        <v>11994.44</v>
      </c>
      <c r="E127" s="2">
        <v>1.4194603550295859</v>
      </c>
      <c r="F127" s="14">
        <v>115107</v>
      </c>
      <c r="G127" s="14">
        <v>1263</v>
      </c>
      <c r="H127" s="4">
        <v>0.14946745562130179</v>
      </c>
    </row>
    <row r="128" spans="1:8" x14ac:dyDescent="0.3">
      <c r="A128" s="1" t="s">
        <v>132</v>
      </c>
      <c r="B128" s="14">
        <v>7163</v>
      </c>
      <c r="C128" s="5">
        <v>3914</v>
      </c>
      <c r="D128" s="3">
        <v>10911.46</v>
      </c>
      <c r="E128" s="2">
        <v>1.5233086695518636</v>
      </c>
      <c r="F128" s="14">
        <v>91262</v>
      </c>
      <c r="G128" s="14">
        <v>1115</v>
      </c>
      <c r="H128" s="4">
        <v>0.15566103587882171</v>
      </c>
    </row>
    <row r="129" spans="1:8" x14ac:dyDescent="0.3">
      <c r="A129" s="1" t="s">
        <v>133</v>
      </c>
      <c r="B129" s="14">
        <v>7796</v>
      </c>
      <c r="C129" s="5">
        <v>3069</v>
      </c>
      <c r="D129" s="3">
        <v>10386.49</v>
      </c>
      <c r="E129" s="2">
        <v>1.3322845048742944</v>
      </c>
      <c r="F129" s="14">
        <v>96497</v>
      </c>
      <c r="G129" s="14">
        <v>1247</v>
      </c>
      <c r="H129" s="4">
        <v>0.15995382247306311</v>
      </c>
    </row>
    <row r="130" spans="1:8" x14ac:dyDescent="0.3">
      <c r="A130" s="1" t="s">
        <v>134</v>
      </c>
      <c r="B130" s="14">
        <v>10778</v>
      </c>
      <c r="C130" s="5">
        <v>3631</v>
      </c>
      <c r="D130" s="3">
        <v>16630.8</v>
      </c>
      <c r="E130" s="2">
        <v>1.5430321024308777</v>
      </c>
      <c r="F130" s="14">
        <v>112883</v>
      </c>
      <c r="G130" s="14">
        <v>1182</v>
      </c>
      <c r="H130" s="4">
        <v>0.10966784190016701</v>
      </c>
    </row>
    <row r="131" spans="1:8" x14ac:dyDescent="0.3">
      <c r="A131" s="1" t="s">
        <v>135</v>
      </c>
      <c r="B131" s="14">
        <v>7811</v>
      </c>
      <c r="C131" s="5">
        <v>3783</v>
      </c>
      <c r="D131" s="3">
        <v>10341.1</v>
      </c>
      <c r="E131" s="2">
        <v>1.3239149916784023</v>
      </c>
      <c r="F131" s="14">
        <v>113113</v>
      </c>
      <c r="G131" s="14">
        <v>1228</v>
      </c>
      <c r="H131" s="4">
        <v>0.15721418512354371</v>
      </c>
    </row>
    <row r="132" spans="1:8" x14ac:dyDescent="0.3">
      <c r="A132" s="1" t="s">
        <v>136</v>
      </c>
      <c r="B132" s="14">
        <v>8596</v>
      </c>
      <c r="C132" s="5">
        <v>3256</v>
      </c>
      <c r="D132" s="3">
        <v>13002.84</v>
      </c>
      <c r="E132" s="2">
        <v>1.5126617031177292</v>
      </c>
      <c r="F132" s="14">
        <v>111255</v>
      </c>
      <c r="G132" s="14">
        <v>1066</v>
      </c>
      <c r="H132" s="4">
        <v>0.12401116798510935</v>
      </c>
    </row>
    <row r="133" spans="1:8" x14ac:dyDescent="0.3">
      <c r="A133" s="1" t="s">
        <v>137</v>
      </c>
      <c r="B133" s="14">
        <v>8532</v>
      </c>
      <c r="C133" s="5">
        <v>3053</v>
      </c>
      <c r="D133" s="3">
        <v>12714.97</v>
      </c>
      <c r="E133" s="2">
        <v>1.490268401312705</v>
      </c>
      <c r="F133" s="14">
        <v>101486</v>
      </c>
      <c r="G133" s="14">
        <v>1087</v>
      </c>
      <c r="H133" s="4">
        <v>0.12740271917487109</v>
      </c>
    </row>
    <row r="134" spans="1:8" x14ac:dyDescent="0.3">
      <c r="A134" s="1" t="s">
        <v>138</v>
      </c>
      <c r="B134" s="14">
        <v>9713</v>
      </c>
      <c r="C134" s="5">
        <v>3596</v>
      </c>
      <c r="D134" s="3">
        <v>13095.33</v>
      </c>
      <c r="E134" s="2">
        <v>1.3482271182950685</v>
      </c>
      <c r="F134" s="14">
        <v>97493</v>
      </c>
      <c r="G134" s="14">
        <v>1320</v>
      </c>
      <c r="H134" s="4">
        <v>0.13590033975084936</v>
      </c>
    </row>
    <row r="135" spans="1:8" x14ac:dyDescent="0.3">
      <c r="A135" s="1" t="s">
        <v>139</v>
      </c>
      <c r="B135" s="14">
        <v>9439</v>
      </c>
      <c r="C135" s="5">
        <v>2872</v>
      </c>
      <c r="D135" s="3">
        <v>13955.97</v>
      </c>
      <c r="E135" s="2">
        <v>1.4785432778896068</v>
      </c>
      <c r="F135" s="14">
        <v>102020</v>
      </c>
      <c r="G135" s="14">
        <v>1083</v>
      </c>
      <c r="H135" s="4">
        <v>0.11473673058586714</v>
      </c>
    </row>
    <row r="136" spans="1:8" x14ac:dyDescent="0.3">
      <c r="A136" s="1" t="s">
        <v>140</v>
      </c>
      <c r="B136" s="14">
        <v>9531</v>
      </c>
      <c r="C136" s="5">
        <v>3353</v>
      </c>
      <c r="D136" s="3">
        <v>13281.35</v>
      </c>
      <c r="E136" s="2">
        <v>1.3934896653026965</v>
      </c>
      <c r="F136" s="14">
        <v>92093</v>
      </c>
      <c r="G136" s="14">
        <v>1239</v>
      </c>
      <c r="H136" s="4">
        <v>0.12999685237645578</v>
      </c>
    </row>
    <row r="137" spans="1:8" x14ac:dyDescent="0.3">
      <c r="A137" s="1" t="s">
        <v>141</v>
      </c>
      <c r="B137" s="14">
        <v>10279</v>
      </c>
      <c r="C137" s="5">
        <v>2929</v>
      </c>
      <c r="D137" s="3">
        <v>13683.49</v>
      </c>
      <c r="E137" s="2">
        <v>1.3312082887440413</v>
      </c>
      <c r="F137" s="14">
        <v>116161</v>
      </c>
      <c r="G137" s="14">
        <v>1310</v>
      </c>
      <c r="H137" s="4">
        <v>0.12744430392061484</v>
      </c>
    </row>
    <row r="138" spans="1:8" x14ac:dyDescent="0.3">
      <c r="A138" s="1" t="s">
        <v>142</v>
      </c>
      <c r="B138" s="14">
        <v>10094</v>
      </c>
      <c r="C138" s="5">
        <v>2821</v>
      </c>
      <c r="D138" s="3">
        <v>14091.82</v>
      </c>
      <c r="E138" s="2">
        <v>1.3960590449772141</v>
      </c>
      <c r="F138" s="14">
        <v>108276</v>
      </c>
      <c r="G138" s="14">
        <v>1322</v>
      </c>
      <c r="H138" s="4">
        <v>0.13096889241133347</v>
      </c>
    </row>
    <row r="139" spans="1:8" x14ac:dyDescent="0.3">
      <c r="A139" s="1" t="s">
        <v>143</v>
      </c>
      <c r="B139" s="14">
        <v>10271</v>
      </c>
      <c r="C139" s="5">
        <v>3053</v>
      </c>
      <c r="D139" s="3">
        <v>14072.53</v>
      </c>
      <c r="E139" s="2">
        <v>1.3701226754941096</v>
      </c>
      <c r="F139" s="14">
        <v>92594</v>
      </c>
      <c r="G139" s="14">
        <v>1032</v>
      </c>
      <c r="H139" s="4">
        <v>0.10047707136598188</v>
      </c>
    </row>
    <row r="140" spans="1:8" x14ac:dyDescent="0.3">
      <c r="A140" s="1" t="s">
        <v>144</v>
      </c>
      <c r="B140" s="14">
        <v>8739</v>
      </c>
      <c r="C140" s="5">
        <v>3079</v>
      </c>
      <c r="D140" s="3">
        <v>13371.58</v>
      </c>
      <c r="E140" s="2">
        <v>1.5301041309074264</v>
      </c>
      <c r="F140" s="14">
        <v>94904</v>
      </c>
      <c r="G140" s="14">
        <v>1349</v>
      </c>
      <c r="H140" s="4">
        <v>0.15436548804211009</v>
      </c>
    </row>
    <row r="141" spans="1:8" x14ac:dyDescent="0.3">
      <c r="A141" s="1" t="s">
        <v>145</v>
      </c>
      <c r="B141" s="14">
        <v>9142</v>
      </c>
      <c r="C141" s="5">
        <v>3596</v>
      </c>
      <c r="D141" s="3">
        <v>14368.26</v>
      </c>
      <c r="E141" s="2">
        <v>1.5716757821045724</v>
      </c>
      <c r="F141" s="14">
        <v>94283</v>
      </c>
      <c r="G141" s="14">
        <v>1135</v>
      </c>
      <c r="H141" s="4">
        <v>0.12415226427477576</v>
      </c>
    </row>
    <row r="142" spans="1:8" x14ac:dyDescent="0.3">
      <c r="A142" s="1" t="s">
        <v>146</v>
      </c>
      <c r="B142" s="14">
        <v>10261</v>
      </c>
      <c r="C142" s="5">
        <v>3598</v>
      </c>
      <c r="D142" s="3">
        <v>15639.16</v>
      </c>
      <c r="E142" s="2">
        <v>1.5241360491180196</v>
      </c>
      <c r="F142" s="14">
        <v>100068</v>
      </c>
      <c r="G142" s="14">
        <v>1399</v>
      </c>
      <c r="H142" s="4">
        <v>0.13634148718448494</v>
      </c>
    </row>
    <row r="143" spans="1:8" x14ac:dyDescent="0.3">
      <c r="A143" s="1" t="s">
        <v>147</v>
      </c>
      <c r="B143" s="14">
        <v>9650</v>
      </c>
      <c r="C143" s="5">
        <v>2914</v>
      </c>
      <c r="D143" s="3">
        <v>14655.25</v>
      </c>
      <c r="E143" s="2">
        <v>1.5186787564766839</v>
      </c>
      <c r="F143" s="14">
        <v>115051</v>
      </c>
      <c r="G143" s="14">
        <v>1357</v>
      </c>
      <c r="H143" s="4">
        <v>0.14062176165803109</v>
      </c>
    </row>
    <row r="144" spans="1:8" x14ac:dyDescent="0.3">
      <c r="A144" s="1" t="s">
        <v>148</v>
      </c>
      <c r="B144" s="14">
        <v>7039</v>
      </c>
      <c r="C144" s="5">
        <v>3393</v>
      </c>
      <c r="D144" s="3">
        <v>9759.86</v>
      </c>
      <c r="E144" s="2">
        <v>1.3865407018042337</v>
      </c>
      <c r="F144" s="14">
        <v>108196</v>
      </c>
      <c r="G144" s="14">
        <v>1074</v>
      </c>
      <c r="H144" s="4">
        <v>0.15257849126296349</v>
      </c>
    </row>
    <row r="145" spans="1:8" x14ac:dyDescent="0.3">
      <c r="A145" s="1" t="s">
        <v>149</v>
      </c>
      <c r="B145" s="14">
        <v>9413</v>
      </c>
      <c r="C145" s="5">
        <v>3266</v>
      </c>
      <c r="D145" s="3">
        <v>13212.53</v>
      </c>
      <c r="E145" s="2">
        <v>1.4036470838202486</v>
      </c>
      <c r="F145" s="14">
        <v>103262</v>
      </c>
      <c r="G145" s="14">
        <v>1269</v>
      </c>
      <c r="H145" s="4">
        <v>0.13481355572081163</v>
      </c>
    </row>
    <row r="146" spans="1:8" x14ac:dyDescent="0.3">
      <c r="A146" s="1" t="s">
        <v>150</v>
      </c>
      <c r="B146" s="14">
        <v>10068</v>
      </c>
      <c r="C146" s="5">
        <v>3524</v>
      </c>
      <c r="D146" s="3">
        <v>15641.62</v>
      </c>
      <c r="E146" s="2">
        <v>1.5535975367500994</v>
      </c>
      <c r="F146" s="14">
        <v>117578</v>
      </c>
      <c r="G146" s="14">
        <v>1264</v>
      </c>
      <c r="H146" s="4">
        <v>0.12554628526023043</v>
      </c>
    </row>
    <row r="147" spans="1:8" x14ac:dyDescent="0.3">
      <c r="A147" s="1" t="s">
        <v>151</v>
      </c>
      <c r="B147" s="14">
        <v>9053</v>
      </c>
      <c r="C147" s="5">
        <v>3755</v>
      </c>
      <c r="D147" s="3">
        <v>13701.04</v>
      </c>
      <c r="E147" s="2">
        <v>1.5134253838506573</v>
      </c>
      <c r="F147" s="14">
        <v>111056</v>
      </c>
      <c r="G147" s="14">
        <v>1283</v>
      </c>
      <c r="H147" s="4">
        <v>0.14172097647188778</v>
      </c>
    </row>
    <row r="148" spans="1:8" x14ac:dyDescent="0.3">
      <c r="A148" s="1" t="s">
        <v>152</v>
      </c>
      <c r="B148" s="14">
        <v>7806</v>
      </c>
      <c r="C148" s="5">
        <v>3985</v>
      </c>
      <c r="D148" s="3">
        <v>11899.25</v>
      </c>
      <c r="E148" s="2">
        <v>1.5243722777350757</v>
      </c>
      <c r="F148" s="14">
        <v>96502</v>
      </c>
      <c r="G148" s="14">
        <v>1226</v>
      </c>
      <c r="H148" s="4">
        <v>0.15705867281578273</v>
      </c>
    </row>
    <row r="149" spans="1:8" x14ac:dyDescent="0.3">
      <c r="A149" s="1" t="s">
        <v>153</v>
      </c>
      <c r="B149" s="14">
        <v>10178</v>
      </c>
      <c r="C149" s="5">
        <v>3420</v>
      </c>
      <c r="D149" s="3">
        <v>15922.59</v>
      </c>
      <c r="E149" s="2">
        <v>1.5644124582432699</v>
      </c>
      <c r="F149" s="14">
        <v>94492</v>
      </c>
      <c r="G149" s="14">
        <v>1081</v>
      </c>
      <c r="H149" s="4">
        <v>0.1062094714089212</v>
      </c>
    </row>
    <row r="150" spans="1:8" x14ac:dyDescent="0.3">
      <c r="A150" s="1" t="s">
        <v>154</v>
      </c>
      <c r="B150" s="14">
        <v>10016</v>
      </c>
      <c r="C150" s="5">
        <v>3268</v>
      </c>
      <c r="D150" s="3">
        <v>14098.77</v>
      </c>
      <c r="E150" s="2">
        <v>1.4076248003194889</v>
      </c>
      <c r="F150" s="14">
        <v>101582</v>
      </c>
      <c r="G150" s="14">
        <v>1329</v>
      </c>
      <c r="H150" s="4">
        <v>0.1326876996805112</v>
      </c>
    </row>
    <row r="151" spans="1:8" x14ac:dyDescent="0.3">
      <c r="A151" s="1" t="s">
        <v>155</v>
      </c>
      <c r="B151" s="14">
        <v>8532</v>
      </c>
      <c r="C151" s="5">
        <v>3182</v>
      </c>
      <c r="D151" s="3">
        <v>12521.53</v>
      </c>
      <c r="E151" s="2">
        <v>1.4675961087669949</v>
      </c>
      <c r="F151" s="14">
        <v>103482</v>
      </c>
      <c r="G151" s="14">
        <v>1127</v>
      </c>
      <c r="H151" s="4">
        <v>0.13209095171120488</v>
      </c>
    </row>
    <row r="152" spans="1:8" x14ac:dyDescent="0.3">
      <c r="A152" s="1" t="s">
        <v>156</v>
      </c>
      <c r="B152" s="14">
        <v>9347</v>
      </c>
      <c r="C152" s="5">
        <v>3590</v>
      </c>
      <c r="D152" s="3">
        <v>12752.32</v>
      </c>
      <c r="E152" s="2">
        <v>1.3643222424307264</v>
      </c>
      <c r="F152" s="14">
        <v>105825</v>
      </c>
      <c r="G152" s="14">
        <v>1154</v>
      </c>
      <c r="H152" s="4">
        <v>0.12346207339253236</v>
      </c>
    </row>
    <row r="153" spans="1:8" x14ac:dyDescent="0.3">
      <c r="A153" s="1" t="s">
        <v>157</v>
      </c>
      <c r="B153" s="14">
        <v>7632</v>
      </c>
      <c r="C153" s="5">
        <v>3857</v>
      </c>
      <c r="D153" s="3">
        <v>11319.14</v>
      </c>
      <c r="E153" s="2">
        <v>1.4831158280922432</v>
      </c>
      <c r="F153" s="14">
        <v>111876</v>
      </c>
      <c r="G153" s="14">
        <v>1089</v>
      </c>
      <c r="H153" s="4">
        <v>0.14268867924528303</v>
      </c>
    </row>
    <row r="154" spans="1:8" x14ac:dyDescent="0.3">
      <c r="A154" s="1" t="s">
        <v>158</v>
      </c>
      <c r="B154" s="14">
        <v>10478</v>
      </c>
      <c r="C154" s="5">
        <v>3982</v>
      </c>
      <c r="D154" s="3">
        <v>16168.52</v>
      </c>
      <c r="E154" s="2">
        <v>1.5430921931666348</v>
      </c>
      <c r="F154" s="14">
        <v>117306</v>
      </c>
      <c r="G154" s="14">
        <v>1050</v>
      </c>
      <c r="H154" s="4">
        <v>0.10020996373353694</v>
      </c>
    </row>
    <row r="155" spans="1:8" x14ac:dyDescent="0.3">
      <c r="A155" s="1" t="s">
        <v>159</v>
      </c>
      <c r="B155" s="14">
        <v>7704</v>
      </c>
      <c r="C155" s="5">
        <v>3394</v>
      </c>
      <c r="D155" s="3">
        <v>12142.35</v>
      </c>
      <c r="E155" s="2">
        <v>1.5761098130841122</v>
      </c>
      <c r="F155" s="14">
        <v>98545</v>
      </c>
      <c r="G155" s="14">
        <v>1268</v>
      </c>
      <c r="H155" s="4">
        <v>0.16458982346832815</v>
      </c>
    </row>
    <row r="156" spans="1:8" x14ac:dyDescent="0.3">
      <c r="A156" s="1" t="s">
        <v>160</v>
      </c>
      <c r="B156" s="14">
        <v>9509</v>
      </c>
      <c r="C156" s="5">
        <v>3568</v>
      </c>
      <c r="D156" s="3">
        <v>13683.48</v>
      </c>
      <c r="E156" s="2">
        <v>1.4390030497423494</v>
      </c>
      <c r="F156" s="14">
        <v>108199</v>
      </c>
      <c r="G156" s="14">
        <v>1056</v>
      </c>
      <c r="H156" s="4">
        <v>0.11105268692817331</v>
      </c>
    </row>
    <row r="157" spans="1:8" x14ac:dyDescent="0.3">
      <c r="A157" s="1" t="s">
        <v>161</v>
      </c>
      <c r="B157" s="14">
        <v>7372</v>
      </c>
      <c r="C157" s="5">
        <v>3668</v>
      </c>
      <c r="D157" s="3">
        <v>10907.33</v>
      </c>
      <c r="E157" s="2">
        <v>1.4795618556701031</v>
      </c>
      <c r="F157" s="14">
        <v>90326</v>
      </c>
      <c r="G157" s="14">
        <v>1243</v>
      </c>
      <c r="H157" s="4">
        <v>0.16861096039066739</v>
      </c>
    </row>
    <row r="158" spans="1:8" x14ac:dyDescent="0.3">
      <c r="A158" s="1" t="s">
        <v>162</v>
      </c>
      <c r="B158" s="14">
        <v>7333</v>
      </c>
      <c r="C158" s="5">
        <v>3940</v>
      </c>
      <c r="D158" s="3">
        <v>10800.86</v>
      </c>
      <c r="E158" s="2">
        <v>1.4729114959770899</v>
      </c>
      <c r="F158" s="14">
        <v>108469</v>
      </c>
      <c r="G158" s="14">
        <v>1281</v>
      </c>
      <c r="H158" s="4">
        <v>0.17468975862539207</v>
      </c>
    </row>
    <row r="159" spans="1:8" x14ac:dyDescent="0.3">
      <c r="A159" s="1" t="s">
        <v>163</v>
      </c>
      <c r="B159" s="14">
        <v>8886</v>
      </c>
      <c r="C159" s="5">
        <v>3395</v>
      </c>
      <c r="D159" s="3">
        <v>13129.48</v>
      </c>
      <c r="E159" s="2">
        <v>1.4775467026783704</v>
      </c>
      <c r="F159" s="14">
        <v>109858</v>
      </c>
      <c r="G159" s="14">
        <v>1351</v>
      </c>
      <c r="H159" s="4">
        <v>0.15203691199639882</v>
      </c>
    </row>
    <row r="160" spans="1:8" x14ac:dyDescent="0.3">
      <c r="A160" s="1" t="s">
        <v>164</v>
      </c>
      <c r="B160" s="14">
        <v>8343</v>
      </c>
      <c r="C160" s="5">
        <v>3825</v>
      </c>
      <c r="D160" s="3">
        <v>12969.73</v>
      </c>
      <c r="E160" s="2">
        <v>1.5545643054057292</v>
      </c>
      <c r="F160" s="14">
        <v>99053</v>
      </c>
      <c r="G160" s="14">
        <v>1260</v>
      </c>
      <c r="H160" s="4">
        <v>0.15102481121898598</v>
      </c>
    </row>
    <row r="161" spans="1:8" x14ac:dyDescent="0.3">
      <c r="A161" s="1" t="s">
        <v>165</v>
      </c>
      <c r="B161" s="14">
        <v>7648</v>
      </c>
      <c r="C161" s="5">
        <v>2927</v>
      </c>
      <c r="D161" s="3">
        <v>10494.86</v>
      </c>
      <c r="E161" s="2">
        <v>1.372235878661088</v>
      </c>
      <c r="F161" s="14">
        <v>118131</v>
      </c>
      <c r="G161" s="14">
        <v>1237</v>
      </c>
      <c r="H161" s="4">
        <v>0.16174163179916318</v>
      </c>
    </row>
    <row r="162" spans="1:8" x14ac:dyDescent="0.3">
      <c r="A162" s="1" t="s">
        <v>166</v>
      </c>
      <c r="B162" s="14">
        <v>7897</v>
      </c>
      <c r="C162" s="5">
        <v>3353</v>
      </c>
      <c r="D162" s="3">
        <v>11066.72</v>
      </c>
      <c r="E162" s="2">
        <v>1.4013828035963023</v>
      </c>
      <c r="F162" s="14">
        <v>114621</v>
      </c>
      <c r="G162" s="14">
        <v>1324</v>
      </c>
      <c r="H162" s="4">
        <v>0.16765860453336709</v>
      </c>
    </row>
    <row r="163" spans="1:8" x14ac:dyDescent="0.3">
      <c r="A163" s="1" t="s">
        <v>167</v>
      </c>
      <c r="B163" s="14">
        <v>9649</v>
      </c>
      <c r="C163" s="5">
        <v>3269</v>
      </c>
      <c r="D163" s="3">
        <v>12818.8</v>
      </c>
      <c r="E163" s="2">
        <v>1.3285107265001554</v>
      </c>
      <c r="F163" s="14">
        <v>92904</v>
      </c>
      <c r="G163" s="14">
        <v>1133</v>
      </c>
      <c r="H163" s="4">
        <v>0.11742149445538398</v>
      </c>
    </row>
    <row r="164" spans="1:8" x14ac:dyDescent="0.3">
      <c r="A164" s="1" t="s">
        <v>168</v>
      </c>
      <c r="B164" s="14">
        <v>7695</v>
      </c>
      <c r="C164" s="5">
        <v>3757</v>
      </c>
      <c r="D164" s="3">
        <v>11658.86</v>
      </c>
      <c r="E164" s="2">
        <v>1.5151215074723847</v>
      </c>
      <c r="F164" s="14">
        <v>119890</v>
      </c>
      <c r="G164" s="14">
        <v>1177</v>
      </c>
      <c r="H164" s="4">
        <v>0.15295646523716699</v>
      </c>
    </row>
    <row r="165" spans="1:8" x14ac:dyDescent="0.3">
      <c r="A165" s="1" t="s">
        <v>169</v>
      </c>
      <c r="B165" s="14">
        <v>7935</v>
      </c>
      <c r="C165" s="5">
        <v>2869</v>
      </c>
      <c r="D165" s="3">
        <v>12659.42</v>
      </c>
      <c r="E165" s="2">
        <v>1.5953900441083806</v>
      </c>
      <c r="F165" s="14">
        <v>98597</v>
      </c>
      <c r="G165" s="14">
        <v>1285</v>
      </c>
      <c r="H165" s="4">
        <v>0.16194076874606175</v>
      </c>
    </row>
    <row r="166" spans="1:8" x14ac:dyDescent="0.3">
      <c r="A166" s="1" t="s">
        <v>170</v>
      </c>
      <c r="B166" s="14">
        <v>10336</v>
      </c>
      <c r="C166" s="5">
        <v>3325</v>
      </c>
      <c r="D166" s="3">
        <v>16427.919999999998</v>
      </c>
      <c r="E166" s="2">
        <v>1.5893885448916407</v>
      </c>
      <c r="F166" s="14">
        <v>116828</v>
      </c>
      <c r="G166" s="14">
        <v>1088</v>
      </c>
      <c r="H166" s="4">
        <v>0.10526315789473684</v>
      </c>
    </row>
    <row r="167" spans="1:8" x14ac:dyDescent="0.3">
      <c r="A167" s="1" t="s">
        <v>171</v>
      </c>
      <c r="B167" s="14">
        <v>7727</v>
      </c>
      <c r="C167" s="5">
        <v>2993</v>
      </c>
      <c r="D167" s="3">
        <v>10085.89</v>
      </c>
      <c r="E167" s="2">
        <v>1.3052788921961951</v>
      </c>
      <c r="F167" s="14">
        <v>102269</v>
      </c>
      <c r="G167" s="14">
        <v>1092</v>
      </c>
      <c r="H167" s="4">
        <v>0.14132263491652647</v>
      </c>
    </row>
    <row r="168" spans="1:8" x14ac:dyDescent="0.3">
      <c r="A168" s="1" t="s">
        <v>172</v>
      </c>
      <c r="B168" s="14">
        <v>7555</v>
      </c>
      <c r="C168" s="5">
        <v>2869</v>
      </c>
      <c r="D168" s="3">
        <v>10943.54</v>
      </c>
      <c r="E168" s="2">
        <v>1.4485162144275316</v>
      </c>
      <c r="F168" s="14">
        <v>99344</v>
      </c>
      <c r="G168" s="14">
        <v>1218</v>
      </c>
      <c r="H168" s="4">
        <v>0.16121773659827929</v>
      </c>
    </row>
    <row r="169" spans="1:8" x14ac:dyDescent="0.3">
      <c r="A169" s="1" t="s">
        <v>173</v>
      </c>
      <c r="B169" s="14">
        <v>9729</v>
      </c>
      <c r="C169" s="5">
        <v>3487</v>
      </c>
      <c r="D169" s="3">
        <v>13114.75</v>
      </c>
      <c r="E169" s="2">
        <v>1.348005961558228</v>
      </c>
      <c r="F169" s="14">
        <v>111353</v>
      </c>
      <c r="G169" s="14">
        <v>1385</v>
      </c>
      <c r="H169" s="4">
        <v>0.14235789906465207</v>
      </c>
    </row>
    <row r="170" spans="1:8" x14ac:dyDescent="0.3">
      <c r="A170" s="1" t="s">
        <v>174</v>
      </c>
      <c r="B170" s="14">
        <v>7335</v>
      </c>
      <c r="C170" s="5">
        <v>3127</v>
      </c>
      <c r="D170" s="3">
        <v>10760.45</v>
      </c>
      <c r="E170" s="2">
        <v>1.4670006816632584</v>
      </c>
      <c r="F170" s="14">
        <v>114322</v>
      </c>
      <c r="G170" s="14">
        <v>1230</v>
      </c>
      <c r="H170" s="4">
        <v>0.16768916155419222</v>
      </c>
    </row>
    <row r="171" spans="1:8" x14ac:dyDescent="0.3">
      <c r="A171" s="1" t="s">
        <v>175</v>
      </c>
      <c r="B171" s="14">
        <v>8949</v>
      </c>
      <c r="C171" s="5">
        <v>3591</v>
      </c>
      <c r="D171" s="3">
        <v>14170.29</v>
      </c>
      <c r="E171" s="2">
        <v>1.5834495474354677</v>
      </c>
      <c r="F171" s="14">
        <v>104138</v>
      </c>
      <c r="G171" s="14">
        <v>1132</v>
      </c>
      <c r="H171" s="4">
        <v>0.12649458040004469</v>
      </c>
    </row>
    <row r="172" spans="1:8" x14ac:dyDescent="0.3">
      <c r="A172" s="1" t="s">
        <v>176</v>
      </c>
      <c r="B172" s="14">
        <v>8920</v>
      </c>
      <c r="C172" s="5">
        <v>3666</v>
      </c>
      <c r="D172" s="3">
        <v>11677.08</v>
      </c>
      <c r="E172" s="2">
        <v>1.3090896860986547</v>
      </c>
      <c r="F172" s="14">
        <v>104572</v>
      </c>
      <c r="G172" s="14">
        <v>1324</v>
      </c>
      <c r="H172" s="4">
        <v>0.1484304932735426</v>
      </c>
    </row>
    <row r="173" spans="1:8" x14ac:dyDescent="0.3">
      <c r="A173" s="1" t="s">
        <v>177</v>
      </c>
      <c r="B173" s="14">
        <v>7915</v>
      </c>
      <c r="C173" s="5">
        <v>2947</v>
      </c>
      <c r="D173" s="3">
        <v>10513.35</v>
      </c>
      <c r="E173" s="2">
        <v>1.3282817435249528</v>
      </c>
      <c r="F173" s="14">
        <v>110531</v>
      </c>
      <c r="G173" s="14">
        <v>1324</v>
      </c>
      <c r="H173" s="4">
        <v>0.16727732154137714</v>
      </c>
    </row>
    <row r="174" spans="1:8" x14ac:dyDescent="0.3">
      <c r="A174" s="1" t="s">
        <v>178</v>
      </c>
      <c r="B174" s="14">
        <v>8847</v>
      </c>
      <c r="C174" s="5">
        <v>3778</v>
      </c>
      <c r="D174" s="3">
        <v>12587.59</v>
      </c>
      <c r="E174" s="2">
        <v>1.422808861761049</v>
      </c>
      <c r="F174" s="14">
        <v>119091</v>
      </c>
      <c r="G174" s="14">
        <v>1047</v>
      </c>
      <c r="H174" s="4">
        <v>0.11834520176330959</v>
      </c>
    </row>
    <row r="175" spans="1:8" x14ac:dyDescent="0.3">
      <c r="A175" s="1" t="s">
        <v>179</v>
      </c>
      <c r="B175" s="14">
        <v>7996</v>
      </c>
      <c r="C175" s="5">
        <v>3352</v>
      </c>
      <c r="D175" s="3">
        <v>11751.65</v>
      </c>
      <c r="E175" s="2">
        <v>1.4696910955477738</v>
      </c>
      <c r="F175" s="14">
        <v>103187</v>
      </c>
      <c r="G175" s="14">
        <v>1237</v>
      </c>
      <c r="H175" s="4">
        <v>0.15470235117558778</v>
      </c>
    </row>
    <row r="176" spans="1:8" x14ac:dyDescent="0.3">
      <c r="A176" s="1" t="s">
        <v>180</v>
      </c>
      <c r="B176" s="14">
        <v>8844</v>
      </c>
      <c r="C176" s="5">
        <v>3052</v>
      </c>
      <c r="D176" s="3">
        <v>12735.78</v>
      </c>
      <c r="E176" s="2">
        <v>1.4400474898236093</v>
      </c>
      <c r="F176" s="14">
        <v>90155</v>
      </c>
      <c r="G176" s="14">
        <v>1179</v>
      </c>
      <c r="H176" s="4">
        <v>0.13331071913161466</v>
      </c>
    </row>
    <row r="177" spans="1:8" x14ac:dyDescent="0.3">
      <c r="A177" s="1" t="s">
        <v>181</v>
      </c>
      <c r="B177" s="14">
        <v>7825</v>
      </c>
      <c r="C177" s="5">
        <v>3030</v>
      </c>
      <c r="D177" s="3">
        <v>11334.67</v>
      </c>
      <c r="E177" s="2">
        <v>1.4485201277955271</v>
      </c>
      <c r="F177" s="14">
        <v>106186</v>
      </c>
      <c r="G177" s="14">
        <v>1328</v>
      </c>
      <c r="H177" s="4">
        <v>0.16971246006389776</v>
      </c>
    </row>
    <row r="178" spans="1:8" x14ac:dyDescent="0.3">
      <c r="A178" s="1" t="s">
        <v>182</v>
      </c>
      <c r="B178" s="14">
        <v>10377</v>
      </c>
      <c r="C178" s="5">
        <v>2845</v>
      </c>
      <c r="D178" s="3">
        <v>15470.81</v>
      </c>
      <c r="E178" s="2">
        <v>1.4908750120458707</v>
      </c>
      <c r="F178" s="14">
        <v>109891</v>
      </c>
      <c r="G178" s="14">
        <v>1053</v>
      </c>
      <c r="H178" s="4">
        <v>0.10147441457068516</v>
      </c>
    </row>
    <row r="179" spans="1:8" x14ac:dyDescent="0.3">
      <c r="A179" s="1" t="s">
        <v>183</v>
      </c>
      <c r="B179" s="14">
        <v>8287</v>
      </c>
      <c r="C179" s="5">
        <v>3441</v>
      </c>
      <c r="D179" s="3">
        <v>11956.92</v>
      </c>
      <c r="E179" s="2">
        <v>1.4428526607940146</v>
      </c>
      <c r="F179" s="14">
        <v>94241</v>
      </c>
      <c r="G179" s="14">
        <v>1201</v>
      </c>
      <c r="H179" s="4">
        <v>0.14492578737782069</v>
      </c>
    </row>
    <row r="180" spans="1:8" x14ac:dyDescent="0.3">
      <c r="A180" s="1" t="s">
        <v>184</v>
      </c>
      <c r="B180" s="14">
        <v>9515</v>
      </c>
      <c r="C180" s="5">
        <v>3776</v>
      </c>
      <c r="D180" s="3">
        <v>14143.92</v>
      </c>
      <c r="E180" s="2">
        <v>1.4864866001050971</v>
      </c>
      <c r="F180" s="14">
        <v>113275</v>
      </c>
      <c r="G180" s="14">
        <v>1387</v>
      </c>
      <c r="H180" s="4">
        <v>0.14576983709931687</v>
      </c>
    </row>
    <row r="181" spans="1:8" x14ac:dyDescent="0.3">
      <c r="A181" s="1" t="s">
        <v>185</v>
      </c>
      <c r="B181" s="14">
        <v>10991</v>
      </c>
      <c r="C181" s="5">
        <v>3148</v>
      </c>
      <c r="D181" s="3">
        <v>14527.4</v>
      </c>
      <c r="E181" s="2">
        <v>1.3217541624965881</v>
      </c>
      <c r="F181" s="14">
        <v>95936</v>
      </c>
      <c r="G181" s="14">
        <v>1025</v>
      </c>
      <c r="H181" s="4">
        <v>9.3258120280229284E-2</v>
      </c>
    </row>
    <row r="182" spans="1:8" x14ac:dyDescent="0.3">
      <c r="A182" s="1" t="s">
        <v>186</v>
      </c>
      <c r="B182" s="14">
        <v>7574</v>
      </c>
      <c r="C182" s="5">
        <v>3355</v>
      </c>
      <c r="D182" s="3">
        <v>10208.969999999999</v>
      </c>
      <c r="E182" s="2">
        <v>1.3478967520464746</v>
      </c>
      <c r="F182" s="14">
        <v>118881</v>
      </c>
      <c r="G182" s="14">
        <v>1250</v>
      </c>
      <c r="H182" s="4">
        <v>0.16503828888302086</v>
      </c>
    </row>
    <row r="183" spans="1:8" x14ac:dyDescent="0.3">
      <c r="A183" s="1" t="s">
        <v>187</v>
      </c>
      <c r="B183" s="14">
        <v>7893</v>
      </c>
      <c r="C183" s="5">
        <v>3276</v>
      </c>
      <c r="D183" s="3">
        <v>11211.11</v>
      </c>
      <c r="E183" s="2">
        <v>1.4203864183453694</v>
      </c>
      <c r="F183" s="14">
        <v>99103</v>
      </c>
      <c r="G183" s="14">
        <v>1028</v>
      </c>
      <c r="H183" s="4">
        <v>0.1302419865703788</v>
      </c>
    </row>
    <row r="184" spans="1:8" x14ac:dyDescent="0.3">
      <c r="A184" s="1" t="s">
        <v>188</v>
      </c>
      <c r="B184" s="14">
        <v>7820</v>
      </c>
      <c r="C184" s="5">
        <v>3726</v>
      </c>
      <c r="D184" s="3">
        <v>10775.36</v>
      </c>
      <c r="E184" s="2">
        <v>1.3779232736572891</v>
      </c>
      <c r="F184" s="14">
        <v>116575</v>
      </c>
      <c r="G184" s="14">
        <v>1180</v>
      </c>
      <c r="H184" s="4">
        <v>0.15089514066496162</v>
      </c>
    </row>
    <row r="185" spans="1:8" x14ac:dyDescent="0.3">
      <c r="A185" s="1" t="s">
        <v>189</v>
      </c>
      <c r="B185" s="14">
        <v>9947</v>
      </c>
      <c r="C185" s="5">
        <v>3551</v>
      </c>
      <c r="D185" s="3">
        <v>12954.29</v>
      </c>
      <c r="E185" s="2">
        <v>1.3023313561877954</v>
      </c>
      <c r="F185" s="14">
        <v>113749</v>
      </c>
      <c r="G185" s="14">
        <v>1109</v>
      </c>
      <c r="H185" s="4">
        <v>0.11149090177943098</v>
      </c>
    </row>
    <row r="186" spans="1:8" x14ac:dyDescent="0.3">
      <c r="A186" s="1" t="s">
        <v>190</v>
      </c>
      <c r="B186" s="14">
        <v>9133</v>
      </c>
      <c r="C186" s="5">
        <v>2866</v>
      </c>
      <c r="D186" s="3">
        <v>13176.89</v>
      </c>
      <c r="E186" s="2">
        <v>1.4427778386072483</v>
      </c>
      <c r="F186" s="14">
        <v>94203</v>
      </c>
      <c r="G186" s="14">
        <v>1324</v>
      </c>
      <c r="H186" s="4">
        <v>0.14496879448155042</v>
      </c>
    </row>
    <row r="187" spans="1:8" x14ac:dyDescent="0.3">
      <c r="A187" s="1" t="s">
        <v>191</v>
      </c>
      <c r="B187" s="14">
        <v>7211</v>
      </c>
      <c r="C187" s="5">
        <v>3655</v>
      </c>
      <c r="D187" s="3">
        <v>10560.28</v>
      </c>
      <c r="E187" s="2">
        <v>1.4644681736236307</v>
      </c>
      <c r="F187" s="14">
        <v>113635</v>
      </c>
      <c r="G187" s="14">
        <v>1351</v>
      </c>
      <c r="H187" s="4">
        <v>0.18735265566495632</v>
      </c>
    </row>
    <row r="188" spans="1:8" x14ac:dyDescent="0.3">
      <c r="A188" s="1" t="s">
        <v>192</v>
      </c>
      <c r="B188" s="14">
        <v>9158</v>
      </c>
      <c r="C188" s="5">
        <v>3240</v>
      </c>
      <c r="D188" s="3">
        <v>13469.92</v>
      </c>
      <c r="E188" s="2">
        <v>1.4708364271675038</v>
      </c>
      <c r="F188" s="14">
        <v>91992</v>
      </c>
      <c r="G188" s="14">
        <v>1371</v>
      </c>
      <c r="H188" s="4">
        <v>0.14970517580257697</v>
      </c>
    </row>
    <row r="189" spans="1:8" x14ac:dyDescent="0.3">
      <c r="A189" s="1" t="s">
        <v>193</v>
      </c>
      <c r="B189" s="14">
        <v>7071</v>
      </c>
      <c r="C189" s="5">
        <v>3154</v>
      </c>
      <c r="D189" s="3">
        <v>10094.15</v>
      </c>
      <c r="E189" s="2">
        <v>1.427542073256965</v>
      </c>
      <c r="F189" s="14">
        <v>98644</v>
      </c>
      <c r="G189" s="14">
        <v>1358</v>
      </c>
      <c r="H189" s="4">
        <v>0.19205204355819544</v>
      </c>
    </row>
    <row r="190" spans="1:8" x14ac:dyDescent="0.3">
      <c r="A190" s="1" t="s">
        <v>194</v>
      </c>
      <c r="B190" s="14">
        <v>7901</v>
      </c>
      <c r="C190" s="5">
        <v>3826</v>
      </c>
      <c r="D190" s="3">
        <v>11216.92</v>
      </c>
      <c r="E190" s="2">
        <v>1.4196835843564106</v>
      </c>
      <c r="F190" s="14">
        <v>109685</v>
      </c>
      <c r="G190" s="14">
        <v>1155</v>
      </c>
      <c r="H190" s="4">
        <v>0.1461840273383116</v>
      </c>
    </row>
    <row r="191" spans="1:8" x14ac:dyDescent="0.3">
      <c r="A191" s="1" t="s">
        <v>195</v>
      </c>
      <c r="B191" s="14">
        <v>9874</v>
      </c>
      <c r="C191" s="5">
        <v>3281</v>
      </c>
      <c r="D191" s="3">
        <v>14678.09</v>
      </c>
      <c r="E191" s="2">
        <v>1.4865393963945717</v>
      </c>
      <c r="F191" s="14">
        <v>95683</v>
      </c>
      <c r="G191" s="14">
        <v>1173</v>
      </c>
      <c r="H191" s="4">
        <v>0.11879684018634798</v>
      </c>
    </row>
    <row r="192" spans="1:8" x14ac:dyDescent="0.3">
      <c r="A192" s="1" t="s">
        <v>196</v>
      </c>
      <c r="B192" s="14">
        <v>7504</v>
      </c>
      <c r="C192" s="5">
        <v>3677</v>
      </c>
      <c r="D192" s="3">
        <v>10467.9</v>
      </c>
      <c r="E192" s="2">
        <v>1.394976012793177</v>
      </c>
      <c r="F192" s="14">
        <v>99727</v>
      </c>
      <c r="G192" s="14">
        <v>1378</v>
      </c>
      <c r="H192" s="4">
        <v>0.18363539445628999</v>
      </c>
    </row>
    <row r="193" spans="1:8" x14ac:dyDescent="0.3">
      <c r="A193" s="1" t="s">
        <v>197</v>
      </c>
      <c r="B193" s="14">
        <v>9821</v>
      </c>
      <c r="C193" s="5">
        <v>3435</v>
      </c>
      <c r="D193" s="3">
        <v>14617.86</v>
      </c>
      <c r="E193" s="2">
        <v>1.4884288768964464</v>
      </c>
      <c r="F193" s="14">
        <v>96395</v>
      </c>
      <c r="G193" s="14">
        <v>1175</v>
      </c>
      <c r="H193" s="4">
        <v>0.11964158436004481</v>
      </c>
    </row>
    <row r="194" spans="1:8" x14ac:dyDescent="0.3">
      <c r="A194" s="1" t="s">
        <v>198</v>
      </c>
      <c r="B194" s="14">
        <v>10133</v>
      </c>
      <c r="C194" s="5">
        <v>2943</v>
      </c>
      <c r="D194" s="3">
        <v>15246.75</v>
      </c>
      <c r="E194" s="2">
        <v>1.5046629823349453</v>
      </c>
      <c r="F194" s="14">
        <v>110251</v>
      </c>
      <c r="G194" s="14">
        <v>1152</v>
      </c>
      <c r="H194" s="4">
        <v>0.11368795026152176</v>
      </c>
    </row>
    <row r="195" spans="1:8" x14ac:dyDescent="0.3">
      <c r="A195" s="1" t="s">
        <v>199</v>
      </c>
      <c r="B195" s="14">
        <v>9119</v>
      </c>
      <c r="C195" s="5">
        <v>3982</v>
      </c>
      <c r="D195" s="3">
        <v>13408.37</v>
      </c>
      <c r="E195" s="2">
        <v>1.4703772343458714</v>
      </c>
      <c r="F195" s="14">
        <v>104098</v>
      </c>
      <c r="G195" s="14">
        <v>1353</v>
      </c>
      <c r="H195" s="4">
        <v>0.14837153196622438</v>
      </c>
    </row>
    <row r="196" spans="1:8" x14ac:dyDescent="0.3">
      <c r="A196" s="1" t="s">
        <v>200</v>
      </c>
      <c r="B196" s="14">
        <v>9613</v>
      </c>
      <c r="C196" s="5">
        <v>3050</v>
      </c>
      <c r="D196" s="3">
        <v>13271.45</v>
      </c>
      <c r="E196" s="2">
        <v>1.3805731821491731</v>
      </c>
      <c r="F196" s="14">
        <v>90873</v>
      </c>
      <c r="G196" s="14">
        <v>1345</v>
      </c>
      <c r="H196" s="4">
        <v>0.13991469884531363</v>
      </c>
    </row>
    <row r="197" spans="1:8" x14ac:dyDescent="0.3">
      <c r="A197" s="1" t="s">
        <v>201</v>
      </c>
      <c r="B197" s="14">
        <v>10982</v>
      </c>
      <c r="C197" s="5">
        <v>3761</v>
      </c>
      <c r="D197" s="3">
        <v>14562.93</v>
      </c>
      <c r="E197" s="2">
        <v>1.3260726643598617</v>
      </c>
      <c r="F197" s="14">
        <v>103842</v>
      </c>
      <c r="G197" s="14">
        <v>1178</v>
      </c>
      <c r="H197" s="4">
        <v>0.10726643598615918</v>
      </c>
    </row>
    <row r="198" spans="1:8" x14ac:dyDescent="0.3">
      <c r="A198" s="1" t="s">
        <v>202</v>
      </c>
      <c r="B198" s="14">
        <v>10201</v>
      </c>
      <c r="C198" s="5">
        <v>3756</v>
      </c>
      <c r="D198" s="3">
        <v>15155.43</v>
      </c>
      <c r="E198" s="2">
        <v>1.485680815606313</v>
      </c>
      <c r="F198" s="14">
        <v>95905</v>
      </c>
      <c r="G198" s="14">
        <v>1034</v>
      </c>
      <c r="H198" s="4">
        <v>0.10136261150867562</v>
      </c>
    </row>
    <row r="199" spans="1:8" x14ac:dyDescent="0.3">
      <c r="A199" s="1" t="s">
        <v>203</v>
      </c>
      <c r="B199" s="14">
        <v>10515</v>
      </c>
      <c r="C199" s="5">
        <v>3734</v>
      </c>
      <c r="D199" s="3">
        <v>16184.52</v>
      </c>
      <c r="E199" s="2">
        <v>1.5391840228245364</v>
      </c>
      <c r="F199" s="14">
        <v>96337</v>
      </c>
      <c r="G199" s="14">
        <v>1145</v>
      </c>
      <c r="H199" s="4">
        <v>0.10889205896338564</v>
      </c>
    </row>
    <row r="200" spans="1:8" x14ac:dyDescent="0.3">
      <c r="A200" s="1" t="s">
        <v>204</v>
      </c>
      <c r="B200" s="14">
        <v>10343</v>
      </c>
      <c r="C200" s="5">
        <v>3203</v>
      </c>
      <c r="D200" s="3">
        <v>15704.05</v>
      </c>
      <c r="E200" s="2">
        <v>1.5183264043314317</v>
      </c>
      <c r="F200" s="14">
        <v>94292</v>
      </c>
      <c r="G200" s="14">
        <v>1161</v>
      </c>
      <c r="H200" s="4">
        <v>0.11224983080344195</v>
      </c>
    </row>
    <row r="201" spans="1:8" x14ac:dyDescent="0.3">
      <c r="A201" s="1" t="s">
        <v>205</v>
      </c>
      <c r="B201" s="14">
        <v>9702</v>
      </c>
      <c r="C201" s="5">
        <v>2943</v>
      </c>
      <c r="D201" s="3">
        <v>14411.89</v>
      </c>
      <c r="E201" s="2">
        <v>1.4854555761698618</v>
      </c>
      <c r="F201" s="14">
        <v>118905</v>
      </c>
      <c r="G201" s="14">
        <v>1319</v>
      </c>
      <c r="H201" s="4">
        <v>0.13595135023706453</v>
      </c>
    </row>
    <row r="202" spans="1:8" x14ac:dyDescent="0.3">
      <c r="A202" s="1" t="s">
        <v>206</v>
      </c>
      <c r="B202" s="14">
        <v>7922</v>
      </c>
      <c r="C202" s="5">
        <v>3277</v>
      </c>
      <c r="D202" s="3">
        <v>10483.56</v>
      </c>
      <c r="E202" s="2">
        <v>1.3233476394849786</v>
      </c>
      <c r="F202" s="14">
        <v>107390</v>
      </c>
      <c r="G202" s="14">
        <v>1267</v>
      </c>
      <c r="H202" s="4">
        <v>0.15993436001009845</v>
      </c>
    </row>
    <row r="203" spans="1:8" x14ac:dyDescent="0.3">
      <c r="A203" s="1" t="s">
        <v>207</v>
      </c>
      <c r="B203" s="14">
        <v>7807</v>
      </c>
      <c r="C203" s="5">
        <v>3182</v>
      </c>
      <c r="D203" s="3">
        <v>10149.25</v>
      </c>
      <c r="E203" s="2">
        <v>1.3000192135263224</v>
      </c>
      <c r="F203" s="14">
        <v>92194</v>
      </c>
      <c r="G203" s="14">
        <v>1087</v>
      </c>
      <c r="H203" s="4">
        <v>0.13923402075060842</v>
      </c>
    </row>
    <row r="204" spans="1:8" x14ac:dyDescent="0.3">
      <c r="A204" s="1" t="s">
        <v>208</v>
      </c>
      <c r="B204" s="14">
        <v>8741</v>
      </c>
      <c r="C204" s="5">
        <v>3530</v>
      </c>
      <c r="D204" s="3">
        <v>12984.02</v>
      </c>
      <c r="E204" s="2">
        <v>1.4854158563093469</v>
      </c>
      <c r="F204" s="14">
        <v>116630</v>
      </c>
      <c r="G204" s="14">
        <v>1256</v>
      </c>
      <c r="H204" s="4">
        <v>0.14369065324333599</v>
      </c>
    </row>
    <row r="205" spans="1:8" x14ac:dyDescent="0.3">
      <c r="A205" s="1" t="s">
        <v>209</v>
      </c>
      <c r="B205" s="14">
        <v>7220</v>
      </c>
      <c r="C205" s="5">
        <v>3618</v>
      </c>
      <c r="D205" s="3">
        <v>9883.0400000000009</v>
      </c>
      <c r="E205" s="2">
        <v>1.3688421052631581</v>
      </c>
      <c r="F205" s="14">
        <v>112843</v>
      </c>
      <c r="G205" s="14">
        <v>1366</v>
      </c>
      <c r="H205" s="4">
        <v>0.189196675900277</v>
      </c>
    </row>
    <row r="206" spans="1:8" x14ac:dyDescent="0.3">
      <c r="A206" s="1" t="s">
        <v>210</v>
      </c>
      <c r="B206" s="14">
        <v>8974</v>
      </c>
      <c r="C206" s="5">
        <v>3592</v>
      </c>
      <c r="D206" s="3">
        <v>13238.81</v>
      </c>
      <c r="E206" s="2">
        <v>1.4752406953420993</v>
      </c>
      <c r="F206" s="14">
        <v>104165</v>
      </c>
      <c r="G206" s="14">
        <v>1393</v>
      </c>
      <c r="H206" s="4">
        <v>0.15522620904836193</v>
      </c>
    </row>
    <row r="207" spans="1:8" x14ac:dyDescent="0.3">
      <c r="A207" s="1" t="s">
        <v>211</v>
      </c>
      <c r="B207" s="14">
        <v>7844</v>
      </c>
      <c r="C207" s="5">
        <v>3585</v>
      </c>
      <c r="D207" s="3">
        <v>12155.2</v>
      </c>
      <c r="E207" s="2">
        <v>1.5496175420703724</v>
      </c>
      <c r="F207" s="14">
        <v>96431</v>
      </c>
      <c r="G207" s="14">
        <v>1238</v>
      </c>
      <c r="H207" s="4">
        <v>0.15782763895971444</v>
      </c>
    </row>
    <row r="208" spans="1:8" x14ac:dyDescent="0.3">
      <c r="A208" s="1" t="s">
        <v>212</v>
      </c>
      <c r="B208" s="14">
        <v>10062</v>
      </c>
      <c r="C208" s="5">
        <v>2917</v>
      </c>
      <c r="D208" s="3">
        <v>15111.32</v>
      </c>
      <c r="E208" s="2">
        <v>1.5018207115881534</v>
      </c>
      <c r="F208" s="14">
        <v>91359</v>
      </c>
      <c r="G208" s="14">
        <v>1182</v>
      </c>
      <c r="H208" s="4">
        <v>0.1174716756112105</v>
      </c>
    </row>
    <row r="209" spans="1:8" x14ac:dyDescent="0.3">
      <c r="A209" s="1" t="s">
        <v>213</v>
      </c>
      <c r="B209" s="14">
        <v>7341</v>
      </c>
      <c r="C209" s="5">
        <v>3914</v>
      </c>
      <c r="D209" s="3">
        <v>11596.1</v>
      </c>
      <c r="E209" s="2">
        <v>1.5796349271216457</v>
      </c>
      <c r="F209" s="14">
        <v>119987</v>
      </c>
      <c r="G209" s="14">
        <v>1078</v>
      </c>
      <c r="H209" s="4">
        <v>0.14684647868137857</v>
      </c>
    </row>
    <row r="210" spans="1:8" x14ac:dyDescent="0.3">
      <c r="A210" s="1" t="s">
        <v>214</v>
      </c>
      <c r="B210" s="14">
        <v>8520</v>
      </c>
      <c r="C210" s="5">
        <v>3041</v>
      </c>
      <c r="D210" s="3">
        <v>11839.34</v>
      </c>
      <c r="E210" s="2">
        <v>1.389593896713615</v>
      </c>
      <c r="F210" s="14">
        <v>105867</v>
      </c>
      <c r="G210" s="14">
        <v>1208</v>
      </c>
      <c r="H210" s="4">
        <v>0.14178403755868543</v>
      </c>
    </row>
    <row r="211" spans="1:8" x14ac:dyDescent="0.3">
      <c r="A211" s="1" t="s">
        <v>215</v>
      </c>
      <c r="B211" s="14">
        <v>9384</v>
      </c>
      <c r="C211" s="5">
        <v>3363</v>
      </c>
      <c r="D211" s="3">
        <v>13311.02</v>
      </c>
      <c r="E211" s="2">
        <v>1.4184803921568627</v>
      </c>
      <c r="F211" s="14">
        <v>109406</v>
      </c>
      <c r="G211" s="14">
        <v>1249</v>
      </c>
      <c r="H211" s="4">
        <v>0.1330988917306053</v>
      </c>
    </row>
    <row r="212" spans="1:8" x14ac:dyDescent="0.3">
      <c r="A212" s="6" t="s">
        <v>219</v>
      </c>
      <c r="B212" s="15">
        <f>SUBTOTAL(109,Table2[Visitors])</f>
        <v>1880739</v>
      </c>
      <c r="C212" s="7"/>
      <c r="D212" s="7"/>
      <c r="E212" s="7"/>
      <c r="F212" s="15">
        <f>SUBTOTAL(109,Table2[Page Views])</f>
        <v>21937560</v>
      </c>
      <c r="G212" s="15">
        <f>SUBTOTAL(109,Table2[Signups])</f>
        <v>252914</v>
      </c>
      <c r="H212" s="8"/>
    </row>
  </sheetData>
  <conditionalFormatting sqref="H2:H212">
    <cfRule type="cellIs" dxfId="0" priority="1" operator="greaterThan">
      <formula>0.12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Vishwanath Madawal</cp:lastModifiedBy>
  <dcterms:created xsi:type="dcterms:W3CDTF">2025-07-22T04:30:11Z</dcterms:created>
  <dcterms:modified xsi:type="dcterms:W3CDTF">2025-08-20T07:11:38Z</dcterms:modified>
</cp:coreProperties>
</file>