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Excel Assignments\"/>
    </mc:Choice>
  </mc:AlternateContent>
  <xr:revisionPtr revIDLastSave="0" documentId="13_ncr:1_{94C2DD29-E396-4E25-9F0A-1AD7673FDEAC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um" sheetId="1" r:id="rId1"/>
    <sheet name="Average" sheetId="2" r:id="rId2"/>
    <sheet name="Count" sheetId="3" r:id="rId3"/>
    <sheet name="Large &amp; Small" sheetId="4" r:id="rId4"/>
    <sheet name="Median &amp; Mode" sheetId="5" r:id="rId5"/>
    <sheet name="Rank &amp; Percentil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6" l="1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U22" i="6"/>
  <c r="U20" i="6"/>
  <c r="U18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L11" i="6"/>
  <c r="L9" i="6"/>
  <c r="L4" i="6"/>
  <c r="L19" i="6"/>
  <c r="L12" i="6"/>
  <c r="L10" i="6"/>
  <c r="L20" i="6"/>
  <c r="L5" i="6"/>
  <c r="L13" i="6"/>
  <c r="L15" i="6"/>
  <c r="L21" i="6"/>
  <c r="L6" i="6"/>
  <c r="L14" i="6"/>
  <c r="L17" i="6"/>
  <c r="L22" i="6"/>
  <c r="L7" i="6"/>
  <c r="L18" i="6"/>
  <c r="L16" i="6"/>
  <c r="L23" i="6"/>
  <c r="L8" i="6"/>
  <c r="O16" i="5"/>
  <c r="O20" i="3"/>
  <c r="O18" i="3"/>
  <c r="O16" i="3"/>
  <c r="O14" i="5"/>
  <c r="O12" i="5"/>
  <c r="P21" i="4"/>
  <c r="P19" i="4"/>
  <c r="P17" i="4"/>
  <c r="P15" i="4"/>
  <c r="O14" i="3"/>
  <c r="M22" i="2"/>
  <c r="M20" i="2"/>
  <c r="M18" i="2"/>
  <c r="M16" i="2"/>
  <c r="K23" i="1"/>
  <c r="K19" i="1"/>
  <c r="K14" i="1"/>
  <c r="K9" i="1"/>
  <c r="K4" i="1"/>
</calcChain>
</file>

<file path=xl/sharedStrings.xml><?xml version="1.0" encoding="utf-8"?>
<sst xmlns="http://schemas.openxmlformats.org/spreadsheetml/2006/main" count="832" uniqueCount="127">
  <si>
    <t>Employee_ID</t>
  </si>
  <si>
    <t>Employee_Name</t>
  </si>
  <si>
    <t>Department</t>
  </si>
  <si>
    <t>Region</t>
  </si>
  <si>
    <t>Product</t>
  </si>
  <si>
    <t>Month</t>
  </si>
  <si>
    <t>Sales</t>
  </si>
  <si>
    <t>Salary</t>
  </si>
  <si>
    <t>E001</t>
  </si>
  <si>
    <t>Rahul</t>
  </si>
  <si>
    <t>South</t>
  </si>
  <si>
    <t>Laptop</t>
  </si>
  <si>
    <t>Jan</t>
  </si>
  <si>
    <t>E002</t>
  </si>
  <si>
    <t>Anita</t>
  </si>
  <si>
    <t>North</t>
  </si>
  <si>
    <t>Mobile</t>
  </si>
  <si>
    <t>E003</t>
  </si>
  <si>
    <t>Suresh</t>
  </si>
  <si>
    <t>HR</t>
  </si>
  <si>
    <t>East</t>
  </si>
  <si>
    <t>NA</t>
  </si>
  <si>
    <t>E004</t>
  </si>
  <si>
    <t>Meena</t>
  </si>
  <si>
    <t>IT</t>
  </si>
  <si>
    <t>West</t>
  </si>
  <si>
    <t>E005</t>
  </si>
  <si>
    <t>Amit</t>
  </si>
  <si>
    <t>Tablet</t>
  </si>
  <si>
    <t>Feb</t>
  </si>
  <si>
    <t>E006</t>
  </si>
  <si>
    <t>Pooja</t>
  </si>
  <si>
    <t>E007</t>
  </si>
  <si>
    <t>Ravi</t>
  </si>
  <si>
    <t>E008</t>
  </si>
  <si>
    <t>Kavya</t>
  </si>
  <si>
    <t>E009</t>
  </si>
  <si>
    <t>Arjun</t>
  </si>
  <si>
    <t>Mar</t>
  </si>
  <si>
    <t>E010</t>
  </si>
  <si>
    <t>Neha</t>
  </si>
  <si>
    <t>E011</t>
  </si>
  <si>
    <t>Manoj</t>
  </si>
  <si>
    <t>E012</t>
  </si>
  <si>
    <t>Divya</t>
  </si>
  <si>
    <t>E013</t>
  </si>
  <si>
    <t>Sachin</t>
  </si>
  <si>
    <t>Apr</t>
  </si>
  <si>
    <t>E014</t>
  </si>
  <si>
    <t>Nisha</t>
  </si>
  <si>
    <t>E015</t>
  </si>
  <si>
    <t>Kiran</t>
  </si>
  <si>
    <t>E016</t>
  </si>
  <si>
    <t>Priya</t>
  </si>
  <si>
    <t>E017</t>
  </si>
  <si>
    <t>Ajay</t>
  </si>
  <si>
    <t>May</t>
  </si>
  <si>
    <t>E018</t>
  </si>
  <si>
    <t>Sonal</t>
  </si>
  <si>
    <t>E019</t>
  </si>
  <si>
    <t>Vikas</t>
  </si>
  <si>
    <t>E020</t>
  </si>
  <si>
    <t>Ritu</t>
  </si>
  <si>
    <t xml:space="preserve">Total sales of all months </t>
  </si>
  <si>
    <r>
      <t xml:space="preserve">1. Total Sales for </t>
    </r>
    <r>
      <rPr>
        <b/>
        <sz val="11"/>
        <color theme="1"/>
        <rFont val="Calibri"/>
        <family val="2"/>
        <scheme val="minor"/>
      </rPr>
      <t>South region</t>
    </r>
  </si>
  <si>
    <t>using sum()</t>
  </si>
  <si>
    <t>using sumif()</t>
  </si>
  <si>
    <r>
      <t xml:space="preserve">1. Total Sales for </t>
    </r>
    <r>
      <rPr>
        <b/>
        <sz val="11"/>
        <color theme="1"/>
        <rFont val="Calibri"/>
        <family val="2"/>
        <scheme val="minor"/>
      </rPr>
      <t>Sales department only</t>
    </r>
  </si>
  <si>
    <t xml:space="preserve"> using sumif()</t>
  </si>
  <si>
    <r>
      <t xml:space="preserve">1. Total Sales for </t>
    </r>
    <r>
      <rPr>
        <b/>
        <sz val="11"/>
        <color theme="1"/>
        <rFont val="Calibri"/>
        <family val="2"/>
        <scheme val="minor"/>
      </rPr>
      <t>South + Laptop</t>
    </r>
  </si>
  <si>
    <t>Using  sumifs()</t>
  </si>
  <si>
    <r>
      <t xml:space="preserve">1. Total Sales in </t>
    </r>
    <r>
      <rPr>
        <b/>
        <sz val="11"/>
        <color theme="1"/>
        <rFont val="Calibri"/>
        <family val="2"/>
        <scheme val="minor"/>
      </rPr>
      <t>March</t>
    </r>
  </si>
  <si>
    <t>Sum()</t>
  </si>
  <si>
    <t>Sumif()</t>
  </si>
  <si>
    <t>Sumifs()</t>
  </si>
  <si>
    <r>
      <t>🔹</t>
    </r>
    <r>
      <rPr>
        <b/>
        <sz val="11"/>
        <color theme="1"/>
        <rFont val="Calibri"/>
        <family val="2"/>
        <scheme val="minor"/>
      </rPr>
      <t xml:space="preserve"> AVERAGE / AVERAGEIF / AVERAGEIFS</t>
    </r>
  </si>
  <si>
    <t>6. Average Salary of all employees</t>
  </si>
  <si>
    <r>
      <t xml:space="preserve">7. Average Salary of </t>
    </r>
    <r>
      <rPr>
        <b/>
        <sz val="11"/>
        <color theme="1"/>
        <rFont val="Calibri"/>
        <family val="2"/>
        <scheme val="minor"/>
      </rPr>
      <t>IT department</t>
    </r>
  </si>
  <si>
    <r>
      <t xml:space="preserve">8. Average Sales in </t>
    </r>
    <r>
      <rPr>
        <b/>
        <sz val="11"/>
        <color theme="1"/>
        <rFont val="Calibri"/>
        <family val="2"/>
        <scheme val="minor"/>
      </rPr>
      <t>North region</t>
    </r>
  </si>
  <si>
    <r>
      <t xml:space="preserve">9. Average Salary of </t>
    </r>
    <r>
      <rPr>
        <b/>
        <sz val="11"/>
        <color theme="1"/>
        <rFont val="Calibri"/>
        <family val="2"/>
        <scheme val="minor"/>
      </rPr>
      <t>HR in West region</t>
    </r>
  </si>
  <si>
    <t>Q6</t>
  </si>
  <si>
    <t>Q7</t>
  </si>
  <si>
    <t>Q8</t>
  </si>
  <si>
    <t>Q9</t>
  </si>
  <si>
    <t>A</t>
  </si>
  <si>
    <r>
      <t>🔹</t>
    </r>
    <r>
      <rPr>
        <b/>
        <sz val="11"/>
        <color theme="1"/>
        <rFont val="Calibri"/>
        <family val="2"/>
        <scheme val="minor"/>
      </rPr>
      <t xml:space="preserve"> COUNT / COUNTIF / COUNTIFS</t>
    </r>
  </si>
  <si>
    <t>10. Total number of employees</t>
  </si>
  <si>
    <r>
      <t xml:space="preserve">11. Number of employees in </t>
    </r>
    <r>
      <rPr>
        <b/>
        <sz val="11"/>
        <color theme="1"/>
        <rFont val="Calibri"/>
        <family val="2"/>
        <scheme val="minor"/>
      </rPr>
      <t>Sales</t>
    </r>
  </si>
  <si>
    <r>
      <t xml:space="preserve">12. Employees in </t>
    </r>
    <r>
      <rPr>
        <b/>
        <sz val="11"/>
        <color theme="1"/>
        <rFont val="Calibri"/>
        <family val="2"/>
        <scheme val="minor"/>
      </rPr>
      <t>South region</t>
    </r>
  </si>
  <si>
    <r>
      <t xml:space="preserve">13. Sales employees in </t>
    </r>
    <r>
      <rPr>
        <b/>
        <sz val="11"/>
        <color theme="1"/>
        <rFont val="Calibri"/>
        <family val="2"/>
        <scheme val="minor"/>
      </rPr>
      <t>South region</t>
    </r>
  </si>
  <si>
    <t>Q10</t>
  </si>
  <si>
    <t>Q11</t>
  </si>
  <si>
    <t>Q12</t>
  </si>
  <si>
    <t>Q13</t>
  </si>
  <si>
    <t>Using COUNTA</t>
  </si>
  <si>
    <r>
      <t>🔹</t>
    </r>
    <r>
      <rPr>
        <b/>
        <sz val="11"/>
        <color theme="1"/>
        <rFont val="Calibri"/>
        <family val="2"/>
        <scheme val="minor"/>
      </rPr>
      <t xml:space="preserve"> LARGE / SMALL</t>
    </r>
  </si>
  <si>
    <t>14. Highest Sales value</t>
  </si>
  <si>
    <t>15. 2nd highest Sales</t>
  </si>
  <si>
    <t>16. Lowest Salary</t>
  </si>
  <si>
    <t>17. 3rd lowest Salary</t>
  </si>
  <si>
    <t>Q14</t>
  </si>
  <si>
    <t>Q15</t>
  </si>
  <si>
    <t>Q16</t>
  </si>
  <si>
    <t>Q17</t>
  </si>
  <si>
    <r>
      <t>🔹</t>
    </r>
    <r>
      <rPr>
        <b/>
        <sz val="11"/>
        <color theme="1"/>
        <rFont val="Calibri"/>
        <family val="2"/>
        <scheme val="minor"/>
      </rPr>
      <t xml:space="preserve"> MEDIAN / MODE</t>
    </r>
  </si>
  <si>
    <t>18. Median Salary</t>
  </si>
  <si>
    <t>19. Median Sales</t>
  </si>
  <si>
    <t>20. Most common Salary (MODE)</t>
  </si>
  <si>
    <t>Q18</t>
  </si>
  <si>
    <t>Q19</t>
  </si>
  <si>
    <t>Q20</t>
  </si>
  <si>
    <t>RANK</t>
  </si>
  <si>
    <r>
      <t xml:space="preserve">21. Rank employees based on </t>
    </r>
    <r>
      <rPr>
        <b/>
        <sz val="11"/>
        <color theme="1"/>
        <rFont val="Calibri"/>
        <family val="2"/>
        <scheme val="minor"/>
      </rPr>
      <t>Salary (highest first)</t>
    </r>
  </si>
  <si>
    <t>22. Rank Sales values (top performer)</t>
  </si>
  <si>
    <r>
      <t>🔹</t>
    </r>
    <r>
      <rPr>
        <b/>
        <sz val="11"/>
        <color theme="1"/>
        <rFont val="Calibri"/>
        <family val="2"/>
        <scheme val="minor"/>
      </rPr>
      <t xml:space="preserve"> PERCENTILE</t>
    </r>
  </si>
  <si>
    <t>23. 90th percentile Salary</t>
  </si>
  <si>
    <t>24. 75th percentile Sales</t>
  </si>
  <si>
    <t>25. Employees earning above 80th percentile salary</t>
  </si>
  <si>
    <t>Q21</t>
  </si>
  <si>
    <t>Q22</t>
  </si>
  <si>
    <t>Q23</t>
  </si>
  <si>
    <t>Q24</t>
  </si>
  <si>
    <t>Q25</t>
  </si>
  <si>
    <t>Rank</t>
  </si>
  <si>
    <t>Top sales</t>
  </si>
  <si>
    <t>done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</si>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</sst>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1"/>
      <color theme="1"/>
      <name val="Segoe UI Emoj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 vertical="center" indent="1"/>
    </xf>
    <xf numFmtId="0" fontId="0" fillId="3" borderId="0" xfId="0" applyFill="1"/>
    <xf numFmtId="0" fontId="0" fillId="4" borderId="0" xfId="0" applyFill="1"/>
    <xf numFmtId="0" fontId="2" fillId="4" borderId="0" xfId="0" applyFont="1" applyFill="1"/>
    <xf numFmtId="0" fontId="3" fillId="4" borderId="0" xfId="0" applyFont="1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0" fillId="5" borderId="0" xfId="0" applyFill="1"/>
    <xf numFmtId="0" fontId="3" fillId="5" borderId="0" xfId="0" applyFont="1" applyFill="1" applyAlignment="1">
      <alignment vertical="center"/>
    </xf>
    <xf numFmtId="0" fontId="0" fillId="5" borderId="0" xfId="0" applyFill="1" applyAlignment="1">
      <alignment horizontal="left" vertical="center" indent="1"/>
    </xf>
    <xf numFmtId="0" fontId="0" fillId="6" borderId="0" xfId="0" applyFill="1"/>
    <xf numFmtId="0" fontId="3" fillId="6" borderId="0" xfId="0" applyFont="1" applyFill="1" applyAlignment="1">
      <alignment vertical="center"/>
    </xf>
    <xf numFmtId="0" fontId="0" fillId="6" borderId="0" xfId="0" applyFill="1" applyAlignment="1">
      <alignment horizontal="left" vertical="center" indent="1"/>
    </xf>
    <xf numFmtId="0" fontId="0" fillId="7" borderId="0" xfId="0" applyFill="1"/>
    <xf numFmtId="0" fontId="3" fillId="7" borderId="0" xfId="0" applyFont="1" applyFill="1" applyAlignment="1">
      <alignment vertical="center"/>
    </xf>
    <xf numFmtId="0" fontId="0" fillId="7" borderId="0" xfId="0" applyFill="1" applyAlignment="1">
      <alignment horizontal="left" vertical="center" indent="1"/>
    </xf>
    <xf numFmtId="0" fontId="0" fillId="8" borderId="0" xfId="0" applyFill="1"/>
    <xf numFmtId="0" fontId="1" fillId="8" borderId="0" xfId="0" applyFont="1" applyFill="1" applyAlignment="1">
      <alignment vertical="center"/>
    </xf>
    <xf numFmtId="0" fontId="0" fillId="8" borderId="0" xfId="0" applyFill="1" applyAlignment="1">
      <alignment horizontal="left" vertical="center" indent="1"/>
    </xf>
    <xf numFmtId="0" fontId="3" fillId="8" borderId="0" xfId="0" applyFont="1" applyFill="1" applyAlignment="1">
      <alignment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59600B-189B-47B3-8068-B5182A7DCB3B}" name="Table1" displayName="Table1" ref="A1:H21" totalsRowShown="0">
  <autoFilter ref="A1:H21" xr:uid="{F859600B-189B-47B3-8068-B5182A7DCB3B}"/>
  <tableColumns count="8">
    <tableColumn id="1" xr3:uid="{72EA8650-FCB9-4542-B9E2-DB7071B36EA3}" name="Employee_ID"/>
    <tableColumn id="2" xr3:uid="{EA44320E-E359-44BF-B3C8-593FB018A3F2}" name="Employee_Name"/>
    <tableColumn id="3" xr3:uid="{792B41A9-7AFD-41C6-A574-944F9B79FE76}" name="Department"/>
    <tableColumn id="4" xr3:uid="{3CC78C3D-4C90-46FC-9D99-99CAD10DCC73}" name="Region"/>
    <tableColumn id="5" xr3:uid="{328AD819-B4B2-4FB0-8A9E-E13D54828B71}" name="Product"/>
    <tableColumn id="6" xr3:uid="{A9F06C1B-185D-491E-9087-52F5669E3BCB}" name="Month"/>
    <tableColumn id="7" xr3:uid="{976F6C26-E3E5-4683-B5BA-18AFE59CB887}" name="Sales"/>
    <tableColumn id="8" xr3:uid="{BF01E13D-F38D-4172-B522-F49E8CAD0F1C}" name="Salar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ABB044-1ABD-4B4D-8BC2-B8EFA1227E4A}" name="Table3" displayName="Table3" ref="B3:I23" totalsRowShown="0">
  <autoFilter ref="B3:I23" xr:uid="{EFABB044-1ABD-4B4D-8BC2-B8EFA1227E4A}"/>
  <tableColumns count="8">
    <tableColumn id="1" xr3:uid="{E318EE77-3FD2-4019-BC6F-26CE717B5822}" name="A"/>
    <tableColumn id="2" xr3:uid="{9D904A94-72D5-476D-8CB2-63DAA873BE34}" name="Employee_Name"/>
    <tableColumn id="3" xr3:uid="{72957945-3A3C-4946-954F-DD61C8E358EE}" name="Department"/>
    <tableColumn id="4" xr3:uid="{F9B9C6D3-711F-4060-B560-8334E4A887D4}" name="Region"/>
    <tableColumn id="5" xr3:uid="{C8E78214-3326-42FC-B9D0-BCD7F27CFD75}" name="Product"/>
    <tableColumn id="6" xr3:uid="{3A02C5A8-1DE7-473A-87D9-F9F80DCEC3CE}" name="Month"/>
    <tableColumn id="7" xr3:uid="{8FB7D412-18D8-4CCD-A9F6-C1B5FBA128EA}" name="Sales"/>
    <tableColumn id="8" xr3:uid="{CC8D45F4-AD57-43CA-B3B1-CD7B76AC0651}" name="Salary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EEA2B5-F420-4258-949F-CA3F7D3F3CBD}" name="Table2" displayName="Table2" ref="C3:J23" totalsRowShown="0">
  <autoFilter ref="C3:J23" xr:uid="{C8EEA2B5-F420-4258-949F-CA3F7D3F3CBD}"/>
  <tableColumns count="8">
    <tableColumn id="1" xr3:uid="{5E5C6AF7-1892-4A53-9688-67262D33F012}" name="Employee_ID"/>
    <tableColumn id="2" xr3:uid="{8B4295E7-31C2-4B12-A9D3-D9DE15B16D2E}" name="Employee_Name"/>
    <tableColumn id="3" xr3:uid="{3C13A411-0730-4E69-AAFE-8A94F6B0FBBC}" name="Department"/>
    <tableColumn id="4" xr3:uid="{AA7679A7-8DC7-4D42-B109-3DA3FC5302FC}" name="Region"/>
    <tableColumn id="5" xr3:uid="{16FDF6A2-1495-41AA-8E6A-1B4AB9D6A6D2}" name="Product"/>
    <tableColumn id="6" xr3:uid="{D4AA5452-D97D-4729-9A8B-4599864E524A}" name="Month"/>
    <tableColumn id="7" xr3:uid="{AFB86879-8672-4DC2-86EF-88CF818757E8}" name="Sales"/>
    <tableColumn id="8" xr3:uid="{5B1E482E-3040-473F-BEAA-997947AACACC}" name="Salary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7FA89D-C43D-4AA6-8B63-C47CE807E6D6}" name="Table4" displayName="Table4" ref="D3:K23" totalsRowShown="0">
  <autoFilter ref="D3:K23" xr:uid="{7B7FA89D-C43D-4AA6-8B63-C47CE807E6D6}"/>
  <tableColumns count="8">
    <tableColumn id="1" xr3:uid="{541142A8-0062-4BC3-858C-275309F544FA}" name="Employee_ID"/>
    <tableColumn id="2" xr3:uid="{6AF8A203-839B-4F7F-BF4C-8E74636DA62E}" name="Employee_Name"/>
    <tableColumn id="3" xr3:uid="{9AB3A052-1189-4841-9340-9861BC29D857}" name="Department"/>
    <tableColumn id="4" xr3:uid="{44403873-AF0B-4F3D-BC79-7AE5B8CCCD8C}" name="Region"/>
    <tableColumn id="5" xr3:uid="{A6E3F829-2034-4E40-A5FA-76770A7A8573}" name="Product"/>
    <tableColumn id="6" xr3:uid="{C657D538-2D39-48D4-BB43-ABAF4CFE3987}" name="Month"/>
    <tableColumn id="7" xr3:uid="{1551099C-20AB-460A-ADB9-E0D05974ADFF}" name="Sales"/>
    <tableColumn id="8" xr3:uid="{A5312551-D04F-4539-8267-3EE371CE2758}" name="Salary"/>
  </tableColumns>
  <tableStyleInfo name="TableStyleMedium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3ECE25-5D38-4381-BF12-DE785963E63B}" name="Table5" displayName="Table5" ref="D3:K23" totalsRowShown="0">
  <autoFilter ref="D3:K23" xr:uid="{383ECE25-5D38-4381-BF12-DE785963E63B}"/>
  <tableColumns count="8">
    <tableColumn id="1" xr3:uid="{295AA606-8F15-428B-AC9C-563734CAE779}" name="Employee_ID"/>
    <tableColumn id="2" xr3:uid="{D84D7414-FC78-4447-8191-43120131C6E3}" name="Employee_Name"/>
    <tableColumn id="3" xr3:uid="{372EC6BD-8249-4A11-9905-C70E5C5748A1}" name="Department"/>
    <tableColumn id="4" xr3:uid="{23CD7E47-ADEB-45B7-9E8E-8BCA92A70167}" name="Region"/>
    <tableColumn id="5" xr3:uid="{FE38BE2A-C7BB-4529-89F6-6AED9B18F3BF}" name="Product"/>
    <tableColumn id="6" xr3:uid="{AF7B6427-D147-45A7-AA66-A8E3DE058192}" name="Month"/>
    <tableColumn id="7" xr3:uid="{126F6372-A13F-4084-9EEE-672E99521917}" name="Sales"/>
    <tableColumn id="8" xr3:uid="{D8D6F539-4B30-43A3-9856-174DE5DD0469}" name="Salary"/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F8CC0F6-263E-4029-8088-C5C336ACDC2F}" name="Table6" displayName="Table6" ref="D3:N23" totalsRowShown="0">
  <autoFilter ref="D3:N23" xr:uid="{3F8CC0F6-263E-4029-8088-C5C336ACDC2F}"/>
  <sortState xmlns:xlrd2="http://schemas.microsoft.com/office/spreadsheetml/2017/richdata2" ref="D4:L23">
    <sortCondition descending="1" ref="L3:L23"/>
  </sortState>
  <tableColumns count="11">
    <tableColumn id="1" xr3:uid="{F7D99AAB-4B5B-4166-AF7F-736311921E4D}" name="Employee_ID"/>
    <tableColumn id="2" xr3:uid="{A41FE521-6943-4B7C-931C-3A3D05A1EF74}" name="Employee_Name"/>
    <tableColumn id="3" xr3:uid="{69B56433-BFA9-4A9F-A69D-ED752AF49147}" name="Department"/>
    <tableColumn id="4" xr3:uid="{5FF1B85B-0C13-4F0B-BCEF-3100751F2BEC}" name="Region"/>
    <tableColumn id="5" xr3:uid="{DC062ECB-F197-4377-BB64-18C6B5E42311}" name="Product"/>
    <tableColumn id="6" xr3:uid="{57B8C453-40FF-4AB8-A54B-36C048EDF59D}" name="Month"/>
    <tableColumn id="7" xr3:uid="{CF5F2B01-BA14-4782-9B55-8F4A3E8105A5}" name="Sales"/>
    <tableColumn id="8" xr3:uid="{10D8A7CF-C784-40DD-809D-88432BC899B6}" name="Salary"/>
    <tableColumn id="9" xr3:uid="{405FA1DC-B809-4A40-8DD1-791224995CEC}" name="Rank" dataDxfId="4">
      <calculatedColumnFormula>RANK(Table6[[#This Row],[Salary]],Table6[Salary],0)</calculatedColumnFormula>
    </tableColumn>
    <tableColumn id="10" xr3:uid="{EC6F63FE-052C-45C4-84BA-420C8FA4E905}" name="Top sales" dataDxfId="3">
      <calculatedColumnFormula>IF(Table6[[#This Row],[Sales]]=0,"",RANK(Table6[[#This Row],[Sales]],Table6[Sales],))</calculatedColumnFormula>
    </tableColumn>
    <tableColumn id="12" xr3:uid="{9D5E0701-2E21-4671-9080-FCBCBAECC868}" name="Column1" dataDxfId="2">
      <calculatedColumnFormula>IF(Table6[[#This Row],[Salary]]&gt;55600,"Above 80 percentile","")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T23"/>
  <sheetViews>
    <sheetView topLeftCell="A4" workbookViewId="0">
      <selection activeCell="L26" sqref="L26"/>
    </sheetView>
  </sheetViews>
  <sheetFormatPr defaultRowHeight="14.4" x14ac:dyDescent="0.3"/>
  <cols>
    <col min="1" max="1" width="14" customWidth="1"/>
    <col min="2" max="2" width="17.21875" customWidth="1"/>
    <col min="3" max="3" width="13" customWidth="1"/>
    <col min="5" max="5" width="9.5546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0" x14ac:dyDescent="0.3">
      <c r="A2" t="s">
        <v>8</v>
      </c>
      <c r="B2" t="s">
        <v>9</v>
      </c>
      <c r="C2" t="s">
        <v>6</v>
      </c>
      <c r="D2" t="s">
        <v>10</v>
      </c>
      <c r="E2" t="s">
        <v>11</v>
      </c>
      <c r="F2" t="s">
        <v>12</v>
      </c>
      <c r="G2">
        <v>45000</v>
      </c>
      <c r="H2">
        <v>42000</v>
      </c>
      <c r="K2" s="1"/>
      <c r="L2" s="1"/>
      <c r="M2" s="1"/>
      <c r="N2" s="1"/>
      <c r="O2" s="1"/>
      <c r="P2" s="1"/>
      <c r="Q2" s="1"/>
    </row>
    <row r="3" spans="1:20" x14ac:dyDescent="0.3">
      <c r="A3" t="s">
        <v>13</v>
      </c>
      <c r="B3" t="s">
        <v>14</v>
      </c>
      <c r="C3" t="s">
        <v>6</v>
      </c>
      <c r="D3" t="s">
        <v>15</v>
      </c>
      <c r="E3" t="s">
        <v>16</v>
      </c>
      <c r="F3" t="s">
        <v>12</v>
      </c>
      <c r="G3">
        <v>38000</v>
      </c>
      <c r="H3">
        <v>40000</v>
      </c>
      <c r="K3" s="1" t="s">
        <v>63</v>
      </c>
      <c r="L3" s="1"/>
      <c r="M3" s="1"/>
      <c r="N3" s="1"/>
      <c r="O3" s="1" t="s">
        <v>65</v>
      </c>
      <c r="P3" s="1"/>
      <c r="Q3" s="1"/>
      <c r="S3" s="4"/>
      <c r="T3" s="4"/>
    </row>
    <row r="4" spans="1:20" ht="23.4" x14ac:dyDescent="0.4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12</v>
      </c>
      <c r="G4">
        <v>0</v>
      </c>
      <c r="H4">
        <v>35000</v>
      </c>
      <c r="K4" s="3">
        <f>SUM(Table1[Sales])</f>
        <v>540000</v>
      </c>
      <c r="S4" s="5" t="s">
        <v>72</v>
      </c>
      <c r="T4" s="4"/>
    </row>
    <row r="5" spans="1:20" ht="23.4" x14ac:dyDescent="0.45">
      <c r="A5" t="s">
        <v>22</v>
      </c>
      <c r="B5" t="s">
        <v>23</v>
      </c>
      <c r="C5" t="s">
        <v>24</v>
      </c>
      <c r="D5" t="s">
        <v>25</v>
      </c>
      <c r="E5" t="s">
        <v>21</v>
      </c>
      <c r="F5" t="s">
        <v>12</v>
      </c>
      <c r="G5">
        <v>0</v>
      </c>
      <c r="H5">
        <v>55000</v>
      </c>
      <c r="S5" s="5" t="s">
        <v>73</v>
      </c>
      <c r="T5" s="4"/>
    </row>
    <row r="6" spans="1:20" ht="23.4" x14ac:dyDescent="0.45">
      <c r="A6" t="s">
        <v>26</v>
      </c>
      <c r="B6" t="s">
        <v>27</v>
      </c>
      <c r="C6" t="s">
        <v>6</v>
      </c>
      <c r="D6" t="s">
        <v>10</v>
      </c>
      <c r="E6" t="s">
        <v>28</v>
      </c>
      <c r="F6" t="s">
        <v>29</v>
      </c>
      <c r="G6">
        <v>52000</v>
      </c>
      <c r="H6">
        <v>43000</v>
      </c>
      <c r="S6" s="5" t="s">
        <v>74</v>
      </c>
      <c r="T6" s="4"/>
    </row>
    <row r="7" spans="1:20" x14ac:dyDescent="0.3">
      <c r="A7" t="s">
        <v>30</v>
      </c>
      <c r="B7" t="s">
        <v>31</v>
      </c>
      <c r="C7" t="s">
        <v>6</v>
      </c>
      <c r="D7" t="s">
        <v>15</v>
      </c>
      <c r="E7" t="s">
        <v>11</v>
      </c>
      <c r="F7" t="s">
        <v>29</v>
      </c>
      <c r="G7">
        <v>60000</v>
      </c>
      <c r="H7">
        <v>41000</v>
      </c>
      <c r="K7" s="2" t="s">
        <v>64</v>
      </c>
      <c r="L7" s="1"/>
      <c r="M7" s="1"/>
      <c r="N7" s="1"/>
      <c r="O7" s="1" t="s">
        <v>66</v>
      </c>
      <c r="P7" s="1"/>
      <c r="S7" s="4"/>
      <c r="T7" s="4"/>
    </row>
    <row r="8" spans="1:20" x14ac:dyDescent="0.3">
      <c r="A8" t="s">
        <v>32</v>
      </c>
      <c r="B8" t="s">
        <v>33</v>
      </c>
      <c r="C8" t="s">
        <v>24</v>
      </c>
      <c r="D8" t="s">
        <v>10</v>
      </c>
      <c r="E8" t="s">
        <v>21</v>
      </c>
      <c r="F8" t="s">
        <v>29</v>
      </c>
      <c r="G8">
        <v>0</v>
      </c>
      <c r="H8">
        <v>58000</v>
      </c>
      <c r="S8" s="4"/>
      <c r="T8" s="4"/>
    </row>
    <row r="9" spans="1:20" x14ac:dyDescent="0.3">
      <c r="A9" t="s">
        <v>34</v>
      </c>
      <c r="B9" t="s">
        <v>35</v>
      </c>
      <c r="C9" t="s">
        <v>19</v>
      </c>
      <c r="D9" t="s">
        <v>25</v>
      </c>
      <c r="E9" t="s">
        <v>21</v>
      </c>
      <c r="F9" t="s">
        <v>29</v>
      </c>
      <c r="G9">
        <v>0</v>
      </c>
      <c r="H9">
        <v>36000</v>
      </c>
      <c r="K9" s="3">
        <f>SUMIF(Table1[Region], "South",Table1[Sales])</f>
        <v>260000</v>
      </c>
    </row>
    <row r="10" spans="1:20" x14ac:dyDescent="0.3">
      <c r="A10" t="s">
        <v>36</v>
      </c>
      <c r="B10" t="s">
        <v>37</v>
      </c>
      <c r="C10" t="s">
        <v>6</v>
      </c>
      <c r="D10" t="s">
        <v>20</v>
      </c>
      <c r="E10" t="s">
        <v>16</v>
      </c>
      <c r="F10" t="s">
        <v>38</v>
      </c>
      <c r="G10">
        <v>48000</v>
      </c>
      <c r="H10">
        <v>44000</v>
      </c>
    </row>
    <row r="11" spans="1:20" x14ac:dyDescent="0.3">
      <c r="A11" t="s">
        <v>39</v>
      </c>
      <c r="B11" t="s">
        <v>40</v>
      </c>
      <c r="C11" t="s">
        <v>6</v>
      </c>
      <c r="D11" t="s">
        <v>10</v>
      </c>
      <c r="E11" t="s">
        <v>11</v>
      </c>
      <c r="F11" t="s">
        <v>38</v>
      </c>
      <c r="G11">
        <v>75000</v>
      </c>
      <c r="H11">
        <v>46000</v>
      </c>
    </row>
    <row r="12" spans="1:20" x14ac:dyDescent="0.3">
      <c r="A12" t="s">
        <v>41</v>
      </c>
      <c r="B12" t="s">
        <v>42</v>
      </c>
      <c r="C12" t="s">
        <v>24</v>
      </c>
      <c r="D12" t="s">
        <v>15</v>
      </c>
      <c r="E12" t="s">
        <v>21</v>
      </c>
      <c r="F12" t="s">
        <v>38</v>
      </c>
      <c r="G12">
        <v>0</v>
      </c>
      <c r="H12">
        <v>60000</v>
      </c>
      <c r="K12" s="2" t="s">
        <v>67</v>
      </c>
      <c r="L12" s="1"/>
      <c r="M12" s="1"/>
      <c r="N12" s="1"/>
      <c r="O12" s="1" t="s">
        <v>68</v>
      </c>
      <c r="P12" s="1"/>
    </row>
    <row r="13" spans="1:20" x14ac:dyDescent="0.3">
      <c r="A13" t="s">
        <v>43</v>
      </c>
      <c r="B13" t="s">
        <v>44</v>
      </c>
      <c r="C13" t="s">
        <v>19</v>
      </c>
      <c r="D13" t="s">
        <v>20</v>
      </c>
      <c r="E13" t="s">
        <v>21</v>
      </c>
      <c r="F13" t="s">
        <v>38</v>
      </c>
      <c r="G13">
        <v>0</v>
      </c>
      <c r="H13">
        <v>37000</v>
      </c>
    </row>
    <row r="14" spans="1:20" x14ac:dyDescent="0.3">
      <c r="A14" t="s">
        <v>45</v>
      </c>
      <c r="B14" t="s">
        <v>46</v>
      </c>
      <c r="C14" t="s">
        <v>6</v>
      </c>
      <c r="D14" t="s">
        <v>25</v>
      </c>
      <c r="E14" t="s">
        <v>28</v>
      </c>
      <c r="F14" t="s">
        <v>47</v>
      </c>
      <c r="G14">
        <v>39000</v>
      </c>
      <c r="H14">
        <v>45000</v>
      </c>
      <c r="K14" s="3">
        <f>SUMIF(Table1[Department],"Sales",Table1[Sales])</f>
        <v>540000</v>
      </c>
    </row>
    <row r="15" spans="1:20" x14ac:dyDescent="0.3">
      <c r="A15" t="s">
        <v>48</v>
      </c>
      <c r="B15" t="s">
        <v>49</v>
      </c>
      <c r="C15" t="s">
        <v>6</v>
      </c>
      <c r="D15" t="s">
        <v>15</v>
      </c>
      <c r="E15" t="s">
        <v>16</v>
      </c>
      <c r="F15" t="s">
        <v>47</v>
      </c>
      <c r="G15">
        <v>42000</v>
      </c>
      <c r="H15">
        <v>47000</v>
      </c>
    </row>
    <row r="16" spans="1:20" x14ac:dyDescent="0.3">
      <c r="A16" t="s">
        <v>50</v>
      </c>
      <c r="B16" t="s">
        <v>51</v>
      </c>
      <c r="C16" t="s">
        <v>24</v>
      </c>
      <c r="D16" t="s">
        <v>10</v>
      </c>
      <c r="E16" t="s">
        <v>21</v>
      </c>
      <c r="F16" t="s">
        <v>47</v>
      </c>
      <c r="G16">
        <v>0</v>
      </c>
      <c r="H16">
        <v>62000</v>
      </c>
    </row>
    <row r="17" spans="1:17" x14ac:dyDescent="0.3">
      <c r="A17" t="s">
        <v>52</v>
      </c>
      <c r="B17" t="s">
        <v>53</v>
      </c>
      <c r="C17" t="s">
        <v>19</v>
      </c>
      <c r="D17" t="s">
        <v>25</v>
      </c>
      <c r="E17" t="s">
        <v>21</v>
      </c>
      <c r="F17" t="s">
        <v>47</v>
      </c>
      <c r="G17">
        <v>0</v>
      </c>
      <c r="H17">
        <v>38000</v>
      </c>
      <c r="K17" s="2" t="s">
        <v>69</v>
      </c>
      <c r="L17" s="1"/>
      <c r="M17" s="1"/>
      <c r="N17" s="1"/>
      <c r="O17" s="1" t="s">
        <v>70</v>
      </c>
      <c r="P17" s="1"/>
      <c r="Q17" s="1"/>
    </row>
    <row r="18" spans="1:17" x14ac:dyDescent="0.3">
      <c r="A18" t="s">
        <v>54</v>
      </c>
      <c r="B18" t="s">
        <v>55</v>
      </c>
      <c r="C18" t="s">
        <v>6</v>
      </c>
      <c r="D18" t="s">
        <v>10</v>
      </c>
      <c r="E18" t="s">
        <v>11</v>
      </c>
      <c r="F18" t="s">
        <v>56</v>
      </c>
      <c r="G18">
        <v>88000</v>
      </c>
      <c r="H18">
        <v>48000</v>
      </c>
    </row>
    <row r="19" spans="1:17" x14ac:dyDescent="0.3">
      <c r="A19" t="s">
        <v>57</v>
      </c>
      <c r="B19" t="s">
        <v>58</v>
      </c>
      <c r="C19" t="s">
        <v>6</v>
      </c>
      <c r="D19" t="s">
        <v>20</v>
      </c>
      <c r="E19" t="s">
        <v>28</v>
      </c>
      <c r="F19" t="s">
        <v>56</v>
      </c>
      <c r="G19">
        <v>53000</v>
      </c>
      <c r="H19">
        <v>46000</v>
      </c>
      <c r="K19" s="3">
        <f>SUMIFS(Table1[Sales],Table1[Region],"South",Table1[Product],"Laptop")</f>
        <v>208000</v>
      </c>
    </row>
    <row r="20" spans="1:17" x14ac:dyDescent="0.3">
      <c r="A20" t="s">
        <v>59</v>
      </c>
      <c r="B20" t="s">
        <v>60</v>
      </c>
      <c r="C20" t="s">
        <v>24</v>
      </c>
      <c r="D20" t="s">
        <v>15</v>
      </c>
      <c r="E20" t="s">
        <v>21</v>
      </c>
      <c r="F20" t="s">
        <v>56</v>
      </c>
      <c r="G20">
        <v>0</v>
      </c>
      <c r="H20">
        <v>65000</v>
      </c>
    </row>
    <row r="21" spans="1:17" x14ac:dyDescent="0.3">
      <c r="A21" t="s">
        <v>61</v>
      </c>
      <c r="B21" t="s">
        <v>62</v>
      </c>
      <c r="C21" t="s">
        <v>19</v>
      </c>
      <c r="D21" t="s">
        <v>10</v>
      </c>
      <c r="E21" t="s">
        <v>21</v>
      </c>
      <c r="F21" t="s">
        <v>56</v>
      </c>
      <c r="G21">
        <v>0</v>
      </c>
      <c r="H21">
        <v>39000</v>
      </c>
      <c r="K21" s="2" t="s">
        <v>71</v>
      </c>
      <c r="L21" s="1"/>
      <c r="M21" s="1"/>
      <c r="N21" s="1"/>
      <c r="O21" s="1"/>
      <c r="P21" s="1"/>
      <c r="Q21" s="1"/>
    </row>
    <row r="23" spans="1:17" x14ac:dyDescent="0.3">
      <c r="K23" s="3">
        <f>SUMIF(Table1[Month],"Mar",Table1[Sales])</f>
        <v>123000</v>
      </c>
    </row>
  </sheetData>
  <conditionalFormatting sqref="A1:H21">
    <cfRule type="containsText" dxfId="1" priority="1" operator="containsText" text="Laptop">
      <formula>NOT(ISERROR(SEARCH("Laptop",A1)))</formula>
    </cfRule>
    <cfRule type="containsText" dxfId="0" priority="2" operator="containsText" text="South">
      <formula>NOT(ISERROR(SEARCH("South",A1)))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215CF-DEE1-4413-9FF9-8E9F297FED14}">
  <sheetPr>
    <tabColor rgb="FFFFC000"/>
  </sheetPr>
  <dimension ref="B2:Q23"/>
  <sheetViews>
    <sheetView workbookViewId="0">
      <selection activeCell="B3" sqref="B3:I23"/>
    </sheetView>
  </sheetViews>
  <sheetFormatPr defaultRowHeight="14.4" x14ac:dyDescent="0.3"/>
  <cols>
    <col min="2" max="2" width="14" customWidth="1"/>
    <col min="3" max="3" width="17.21875" customWidth="1"/>
    <col min="4" max="4" width="13" customWidth="1"/>
    <col min="6" max="6" width="9.5546875" customWidth="1"/>
  </cols>
  <sheetData>
    <row r="2" spans="2:17" x14ac:dyDescent="0.3">
      <c r="L2" s="4"/>
      <c r="M2" s="4"/>
      <c r="N2" s="4"/>
      <c r="O2" s="4"/>
      <c r="P2" s="4"/>
      <c r="Q2" s="4"/>
    </row>
    <row r="3" spans="2:17" ht="15.6" x14ac:dyDescent="0.3">
      <c r="B3" t="s">
        <v>84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L3" s="4"/>
      <c r="M3" s="6" t="s">
        <v>75</v>
      </c>
      <c r="N3" s="4"/>
      <c r="O3" s="4"/>
      <c r="P3" s="4"/>
      <c r="Q3" s="4"/>
    </row>
    <row r="4" spans="2:17" x14ac:dyDescent="0.3">
      <c r="B4" t="s">
        <v>8</v>
      </c>
      <c r="C4" t="s">
        <v>9</v>
      </c>
      <c r="D4" t="s">
        <v>6</v>
      </c>
      <c r="E4" t="s">
        <v>10</v>
      </c>
      <c r="F4" t="s">
        <v>11</v>
      </c>
      <c r="G4" t="s">
        <v>12</v>
      </c>
      <c r="H4">
        <v>45000</v>
      </c>
      <c r="I4">
        <v>42000</v>
      </c>
      <c r="L4" s="4"/>
      <c r="M4" s="7" t="s">
        <v>76</v>
      </c>
      <c r="N4" s="4"/>
      <c r="O4" s="4"/>
      <c r="P4" s="4"/>
      <c r="Q4" s="4"/>
    </row>
    <row r="5" spans="2:17" x14ac:dyDescent="0.3">
      <c r="B5" t="s">
        <v>13</v>
      </c>
      <c r="C5" t="s">
        <v>14</v>
      </c>
      <c r="D5" t="s">
        <v>6</v>
      </c>
      <c r="E5" t="s">
        <v>15</v>
      </c>
      <c r="F5" t="s">
        <v>16</v>
      </c>
      <c r="G5" t="s">
        <v>12</v>
      </c>
      <c r="H5">
        <v>38000</v>
      </c>
      <c r="I5">
        <v>40000</v>
      </c>
      <c r="L5" s="4"/>
      <c r="M5" s="7" t="s">
        <v>77</v>
      </c>
      <c r="N5" s="4"/>
      <c r="O5" s="4"/>
      <c r="P5" s="4"/>
      <c r="Q5" s="4"/>
    </row>
    <row r="6" spans="2:17" x14ac:dyDescent="0.3"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12</v>
      </c>
      <c r="H6">
        <v>0</v>
      </c>
      <c r="I6">
        <v>35000</v>
      </c>
      <c r="L6" s="4"/>
      <c r="M6" s="7" t="s">
        <v>78</v>
      </c>
      <c r="N6" s="4"/>
      <c r="O6" s="4"/>
      <c r="P6" s="4"/>
      <c r="Q6" s="4"/>
    </row>
    <row r="7" spans="2:17" x14ac:dyDescent="0.3">
      <c r="B7" t="s">
        <v>22</v>
      </c>
      <c r="C7" t="s">
        <v>23</v>
      </c>
      <c r="D7" t="s">
        <v>24</v>
      </c>
      <c r="E7" t="s">
        <v>25</v>
      </c>
      <c r="F7" t="s">
        <v>21</v>
      </c>
      <c r="G7" t="s">
        <v>12</v>
      </c>
      <c r="H7">
        <v>0</v>
      </c>
      <c r="I7">
        <v>55000</v>
      </c>
      <c r="L7" s="4"/>
      <c r="M7" s="7" t="s">
        <v>79</v>
      </c>
      <c r="N7" s="4"/>
      <c r="O7" s="4"/>
      <c r="P7" s="4"/>
      <c r="Q7" s="4"/>
    </row>
    <row r="8" spans="2:17" x14ac:dyDescent="0.3">
      <c r="B8" t="s">
        <v>26</v>
      </c>
      <c r="C8" t="s">
        <v>27</v>
      </c>
      <c r="D8" t="s">
        <v>6</v>
      </c>
      <c r="E8" t="s">
        <v>10</v>
      </c>
      <c r="F8" t="s">
        <v>28</v>
      </c>
      <c r="G8" t="s">
        <v>29</v>
      </c>
      <c r="H8">
        <v>52000</v>
      </c>
      <c r="I8">
        <v>43000</v>
      </c>
      <c r="L8" s="4"/>
      <c r="M8" s="4"/>
      <c r="N8" s="4"/>
      <c r="O8" s="4"/>
      <c r="P8" s="4"/>
      <c r="Q8" s="4"/>
    </row>
    <row r="9" spans="2:17" x14ac:dyDescent="0.3">
      <c r="B9" t="s">
        <v>30</v>
      </c>
      <c r="C9" t="s">
        <v>31</v>
      </c>
      <c r="D9" t="s">
        <v>6</v>
      </c>
      <c r="E9" t="s">
        <v>15</v>
      </c>
      <c r="F9" t="s">
        <v>11</v>
      </c>
      <c r="G9" t="s">
        <v>29</v>
      </c>
      <c r="H9">
        <v>60000</v>
      </c>
      <c r="I9">
        <v>41000</v>
      </c>
      <c r="L9" s="4"/>
      <c r="M9" s="4"/>
      <c r="N9" s="4"/>
      <c r="O9" s="4"/>
      <c r="P9" s="4"/>
      <c r="Q9" s="4"/>
    </row>
    <row r="10" spans="2:17" x14ac:dyDescent="0.3">
      <c r="B10" t="s">
        <v>32</v>
      </c>
      <c r="C10" t="s">
        <v>33</v>
      </c>
      <c r="D10" t="s">
        <v>24</v>
      </c>
      <c r="E10" t="s">
        <v>10</v>
      </c>
      <c r="F10" t="s">
        <v>21</v>
      </c>
      <c r="G10" t="s">
        <v>29</v>
      </c>
      <c r="H10">
        <v>0</v>
      </c>
      <c r="I10">
        <v>58000</v>
      </c>
      <c r="L10" s="4"/>
      <c r="M10" s="4"/>
      <c r="N10" s="4"/>
      <c r="O10" s="4"/>
      <c r="P10" s="4"/>
      <c r="Q10" s="4"/>
    </row>
    <row r="11" spans="2:17" x14ac:dyDescent="0.3">
      <c r="B11" t="s">
        <v>34</v>
      </c>
      <c r="C11" t="s">
        <v>35</v>
      </c>
      <c r="D11" t="s">
        <v>19</v>
      </c>
      <c r="E11" t="s">
        <v>25</v>
      </c>
      <c r="F11" t="s">
        <v>21</v>
      </c>
      <c r="G11" t="s">
        <v>29</v>
      </c>
      <c r="H11">
        <v>0</v>
      </c>
      <c r="I11">
        <v>36000</v>
      </c>
      <c r="L11" s="4"/>
      <c r="M11" s="4"/>
      <c r="N11" s="4"/>
      <c r="O11" s="4"/>
      <c r="P11" s="4"/>
      <c r="Q11" s="4"/>
    </row>
    <row r="12" spans="2:17" x14ac:dyDescent="0.3">
      <c r="B12" t="s">
        <v>36</v>
      </c>
      <c r="C12" t="s">
        <v>37</v>
      </c>
      <c r="D12" t="s">
        <v>6</v>
      </c>
      <c r="E12" t="s">
        <v>20</v>
      </c>
      <c r="F12" t="s">
        <v>16</v>
      </c>
      <c r="G12" t="s">
        <v>38</v>
      </c>
      <c r="H12">
        <v>48000</v>
      </c>
      <c r="I12">
        <v>44000</v>
      </c>
      <c r="L12" s="4"/>
      <c r="M12" s="4"/>
      <c r="N12" s="4"/>
      <c r="O12" s="4"/>
      <c r="P12" s="4"/>
      <c r="Q12" s="4"/>
    </row>
    <row r="13" spans="2:17" x14ac:dyDescent="0.3">
      <c r="B13" t="s">
        <v>39</v>
      </c>
      <c r="C13" t="s">
        <v>40</v>
      </c>
      <c r="D13" t="s">
        <v>6</v>
      </c>
      <c r="E13" t="s">
        <v>10</v>
      </c>
      <c r="F13" t="s">
        <v>11</v>
      </c>
      <c r="G13" t="s">
        <v>38</v>
      </c>
      <c r="H13">
        <v>75000</v>
      </c>
      <c r="I13">
        <v>46000</v>
      </c>
      <c r="L13" s="4"/>
      <c r="M13" s="4"/>
      <c r="N13" s="4"/>
      <c r="O13" s="4"/>
      <c r="P13" s="4"/>
      <c r="Q13" s="4"/>
    </row>
    <row r="14" spans="2:17" x14ac:dyDescent="0.3">
      <c r="B14" t="s">
        <v>41</v>
      </c>
      <c r="C14" t="s">
        <v>42</v>
      </c>
      <c r="D14" t="s">
        <v>24</v>
      </c>
      <c r="E14" t="s">
        <v>15</v>
      </c>
      <c r="F14" t="s">
        <v>21</v>
      </c>
      <c r="G14" t="s">
        <v>38</v>
      </c>
      <c r="H14">
        <v>0</v>
      </c>
      <c r="I14">
        <v>60000</v>
      </c>
    </row>
    <row r="15" spans="2:17" x14ac:dyDescent="0.3">
      <c r="B15" t="s">
        <v>43</v>
      </c>
      <c r="C15" t="s">
        <v>44</v>
      </c>
      <c r="D15" t="s">
        <v>19</v>
      </c>
      <c r="E15" t="s">
        <v>20</v>
      </c>
      <c r="F15" t="s">
        <v>21</v>
      </c>
      <c r="G15" t="s">
        <v>38</v>
      </c>
      <c r="H15">
        <v>0</v>
      </c>
      <c r="I15">
        <v>37000</v>
      </c>
    </row>
    <row r="16" spans="2:17" x14ac:dyDescent="0.3">
      <c r="B16" t="s">
        <v>45</v>
      </c>
      <c r="C16" t="s">
        <v>46</v>
      </c>
      <c r="D16" t="s">
        <v>6</v>
      </c>
      <c r="E16" t="s">
        <v>25</v>
      </c>
      <c r="F16" t="s">
        <v>28</v>
      </c>
      <c r="G16" t="s">
        <v>47</v>
      </c>
      <c r="H16">
        <v>39000</v>
      </c>
      <c r="I16">
        <v>45000</v>
      </c>
      <c r="L16" t="s">
        <v>80</v>
      </c>
      <c r="M16">
        <f>AVERAGE(Table3[Salary])</f>
        <v>46350</v>
      </c>
    </row>
    <row r="17" spans="2:13" x14ac:dyDescent="0.3">
      <c r="B17" t="s">
        <v>48</v>
      </c>
      <c r="C17" t="s">
        <v>49</v>
      </c>
      <c r="D17" t="s">
        <v>6</v>
      </c>
      <c r="E17" t="s">
        <v>15</v>
      </c>
      <c r="F17" t="s">
        <v>16</v>
      </c>
      <c r="G17" t="s">
        <v>47</v>
      </c>
      <c r="H17">
        <v>42000</v>
      </c>
      <c r="I17">
        <v>47000</v>
      </c>
    </row>
    <row r="18" spans="2:13" x14ac:dyDescent="0.3">
      <c r="B18" t="s">
        <v>50</v>
      </c>
      <c r="C18" t="s">
        <v>51</v>
      </c>
      <c r="D18" t="s">
        <v>24</v>
      </c>
      <c r="E18" t="s">
        <v>10</v>
      </c>
      <c r="F18" t="s">
        <v>21</v>
      </c>
      <c r="G18" t="s">
        <v>47</v>
      </c>
      <c r="H18">
        <v>0</v>
      </c>
      <c r="I18">
        <v>62000</v>
      </c>
      <c r="L18" t="s">
        <v>81</v>
      </c>
      <c r="M18">
        <f>AVERAGEIF(Table3[Department],"IT",Table3[Salary])</f>
        <v>60000</v>
      </c>
    </row>
    <row r="19" spans="2:13" x14ac:dyDescent="0.3">
      <c r="B19" t="s">
        <v>52</v>
      </c>
      <c r="C19" t="s">
        <v>53</v>
      </c>
      <c r="D19" t="s">
        <v>19</v>
      </c>
      <c r="E19" t="s">
        <v>25</v>
      </c>
      <c r="F19" t="s">
        <v>21</v>
      </c>
      <c r="G19" t="s">
        <v>47</v>
      </c>
      <c r="H19">
        <v>0</v>
      </c>
      <c r="I19">
        <v>38000</v>
      </c>
    </row>
    <row r="20" spans="2:13" x14ac:dyDescent="0.3">
      <c r="B20" t="s">
        <v>54</v>
      </c>
      <c r="C20" t="s">
        <v>55</v>
      </c>
      <c r="D20" t="s">
        <v>6</v>
      </c>
      <c r="E20" t="s">
        <v>10</v>
      </c>
      <c r="F20" t="s">
        <v>11</v>
      </c>
      <c r="G20" t="s">
        <v>56</v>
      </c>
      <c r="H20">
        <v>88000</v>
      </c>
      <c r="I20">
        <v>48000</v>
      </c>
      <c r="L20" t="s">
        <v>82</v>
      </c>
      <c r="M20">
        <f>AVERAGEIF(Table3[Region],"North",Table3[Salary])</f>
        <v>50600</v>
      </c>
    </row>
    <row r="21" spans="2:13" x14ac:dyDescent="0.3">
      <c r="B21" t="s">
        <v>57</v>
      </c>
      <c r="C21" t="s">
        <v>58</v>
      </c>
      <c r="D21" t="s">
        <v>6</v>
      </c>
      <c r="E21" t="s">
        <v>20</v>
      </c>
      <c r="F21" t="s">
        <v>28</v>
      </c>
      <c r="G21" t="s">
        <v>56</v>
      </c>
      <c r="H21">
        <v>53000</v>
      </c>
      <c r="I21">
        <v>46000</v>
      </c>
    </row>
    <row r="22" spans="2:13" x14ac:dyDescent="0.3">
      <c r="B22" t="s">
        <v>59</v>
      </c>
      <c r="C22" t="s">
        <v>60</v>
      </c>
      <c r="D22" t="s">
        <v>24</v>
      </c>
      <c r="E22" t="s">
        <v>15</v>
      </c>
      <c r="F22" t="s">
        <v>21</v>
      </c>
      <c r="G22" t="s">
        <v>56</v>
      </c>
      <c r="H22">
        <v>0</v>
      </c>
      <c r="I22">
        <v>65000</v>
      </c>
      <c r="L22" t="s">
        <v>83</v>
      </c>
      <c r="M22">
        <f>AVERAGEIFS(Table3[Salary],Table3[Department],"HR",Table3[Region],"West")</f>
        <v>37000</v>
      </c>
    </row>
    <row r="23" spans="2:13" x14ac:dyDescent="0.3">
      <c r="B23" t="s">
        <v>61</v>
      </c>
      <c r="C23" t="s">
        <v>62</v>
      </c>
      <c r="D23" t="s">
        <v>19</v>
      </c>
      <c r="E23" t="s">
        <v>10</v>
      </c>
      <c r="F23" t="s">
        <v>21</v>
      </c>
      <c r="G23" t="s">
        <v>56</v>
      </c>
      <c r="H23">
        <v>0</v>
      </c>
      <c r="I23">
        <v>39000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8AFB-C270-4790-A9B5-7957907869FB}">
  <sheetPr>
    <tabColor rgb="FF92D050"/>
  </sheetPr>
  <dimension ref="C3:R23"/>
  <sheetViews>
    <sheetView workbookViewId="0">
      <selection activeCell="O21" sqref="O21"/>
    </sheetView>
  </sheetViews>
  <sheetFormatPr defaultRowHeight="14.4" x14ac:dyDescent="0.3"/>
  <cols>
    <col min="3" max="3" width="14" customWidth="1"/>
    <col min="4" max="4" width="17.21875" customWidth="1"/>
    <col min="5" max="5" width="13" customWidth="1"/>
    <col min="7" max="7" width="9.5546875" customWidth="1"/>
  </cols>
  <sheetData>
    <row r="3" spans="3:18" x14ac:dyDescent="0.3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N3" s="8"/>
      <c r="O3" s="8"/>
      <c r="P3" s="8"/>
      <c r="Q3" s="8"/>
      <c r="R3" s="8"/>
    </row>
    <row r="4" spans="3:18" ht="15.6" x14ac:dyDescent="0.3">
      <c r="C4" t="s">
        <v>8</v>
      </c>
      <c r="D4" t="s">
        <v>9</v>
      </c>
      <c r="E4" t="s">
        <v>6</v>
      </c>
      <c r="F4" t="s">
        <v>10</v>
      </c>
      <c r="G4" t="s">
        <v>11</v>
      </c>
      <c r="H4" t="s">
        <v>12</v>
      </c>
      <c r="I4">
        <v>45000</v>
      </c>
      <c r="J4">
        <v>42000</v>
      </c>
      <c r="N4" s="8"/>
      <c r="O4" s="9" t="s">
        <v>85</v>
      </c>
      <c r="P4" s="8"/>
      <c r="Q4" s="8"/>
      <c r="R4" s="8"/>
    </row>
    <row r="5" spans="3:18" x14ac:dyDescent="0.3">
      <c r="C5" t="s">
        <v>13</v>
      </c>
      <c r="D5" t="s">
        <v>14</v>
      </c>
      <c r="E5" t="s">
        <v>6</v>
      </c>
      <c r="F5" t="s">
        <v>15</v>
      </c>
      <c r="G5" t="s">
        <v>16</v>
      </c>
      <c r="H5" t="s">
        <v>12</v>
      </c>
      <c r="I5">
        <v>38000</v>
      </c>
      <c r="J5">
        <v>40000</v>
      </c>
      <c r="N5" s="8"/>
      <c r="O5" s="10" t="s">
        <v>86</v>
      </c>
      <c r="P5" s="8"/>
      <c r="Q5" s="8"/>
      <c r="R5" s="8"/>
    </row>
    <row r="6" spans="3:18" x14ac:dyDescent="0.3"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12</v>
      </c>
      <c r="I6">
        <v>0</v>
      </c>
      <c r="J6">
        <v>35000</v>
      </c>
      <c r="N6" s="8"/>
      <c r="O6" s="10" t="s">
        <v>87</v>
      </c>
      <c r="P6" s="8"/>
      <c r="Q6" s="8"/>
      <c r="R6" s="8"/>
    </row>
    <row r="7" spans="3:18" x14ac:dyDescent="0.3">
      <c r="C7" t="s">
        <v>22</v>
      </c>
      <c r="D7" t="s">
        <v>23</v>
      </c>
      <c r="E7" t="s">
        <v>24</v>
      </c>
      <c r="F7" t="s">
        <v>25</v>
      </c>
      <c r="G7" t="s">
        <v>21</v>
      </c>
      <c r="H7" t="s">
        <v>12</v>
      </c>
      <c r="I7">
        <v>0</v>
      </c>
      <c r="J7">
        <v>55000</v>
      </c>
      <c r="N7" s="8"/>
      <c r="O7" s="10" t="s">
        <v>88</v>
      </c>
      <c r="P7" s="8"/>
      <c r="Q7" s="8"/>
      <c r="R7" s="8"/>
    </row>
    <row r="8" spans="3:18" x14ac:dyDescent="0.3">
      <c r="C8" t="s">
        <v>26</v>
      </c>
      <c r="D8" t="s">
        <v>27</v>
      </c>
      <c r="E8" t="s">
        <v>6</v>
      </c>
      <c r="F8" t="s">
        <v>10</v>
      </c>
      <c r="G8" t="s">
        <v>28</v>
      </c>
      <c r="H8" t="s">
        <v>29</v>
      </c>
      <c r="I8">
        <v>52000</v>
      </c>
      <c r="J8">
        <v>43000</v>
      </c>
      <c r="N8" s="8"/>
      <c r="O8" s="10" t="s">
        <v>89</v>
      </c>
      <c r="P8" s="8"/>
      <c r="Q8" s="8"/>
      <c r="R8" s="8"/>
    </row>
    <row r="9" spans="3:18" x14ac:dyDescent="0.3">
      <c r="C9" t="s">
        <v>30</v>
      </c>
      <c r="D9" t="s">
        <v>31</v>
      </c>
      <c r="E9" t="s">
        <v>6</v>
      </c>
      <c r="F9" t="s">
        <v>15</v>
      </c>
      <c r="G9" t="s">
        <v>11</v>
      </c>
      <c r="H9" t="s">
        <v>29</v>
      </c>
      <c r="I9">
        <v>60000</v>
      </c>
      <c r="J9">
        <v>41000</v>
      </c>
      <c r="N9" s="8"/>
      <c r="O9" s="8"/>
      <c r="P9" s="8"/>
      <c r="Q9" s="8"/>
      <c r="R9" s="8"/>
    </row>
    <row r="10" spans="3:18" x14ac:dyDescent="0.3">
      <c r="C10" t="s">
        <v>32</v>
      </c>
      <c r="D10" t="s">
        <v>33</v>
      </c>
      <c r="E10" t="s">
        <v>24</v>
      </c>
      <c r="F10" t="s">
        <v>10</v>
      </c>
      <c r="G10" t="s">
        <v>21</v>
      </c>
      <c r="H10" t="s">
        <v>29</v>
      </c>
      <c r="I10">
        <v>0</v>
      </c>
      <c r="J10">
        <v>58000</v>
      </c>
      <c r="N10" s="8"/>
      <c r="O10" s="8"/>
      <c r="P10" s="8"/>
      <c r="Q10" s="8"/>
      <c r="R10" s="8"/>
    </row>
    <row r="11" spans="3:18" x14ac:dyDescent="0.3">
      <c r="C11" t="s">
        <v>34</v>
      </c>
      <c r="D11" t="s">
        <v>35</v>
      </c>
      <c r="E11" t="s">
        <v>19</v>
      </c>
      <c r="F11" t="s">
        <v>25</v>
      </c>
      <c r="G11" t="s">
        <v>21</v>
      </c>
      <c r="H11" t="s">
        <v>29</v>
      </c>
      <c r="I11">
        <v>0</v>
      </c>
      <c r="J11">
        <v>36000</v>
      </c>
      <c r="N11" s="8"/>
      <c r="O11" s="8"/>
      <c r="P11" s="8"/>
      <c r="Q11" s="8"/>
      <c r="R11" s="8"/>
    </row>
    <row r="12" spans="3:18" x14ac:dyDescent="0.3">
      <c r="C12" t="s">
        <v>36</v>
      </c>
      <c r="D12" t="s">
        <v>37</v>
      </c>
      <c r="E12" t="s">
        <v>6</v>
      </c>
      <c r="F12" t="s">
        <v>20</v>
      </c>
      <c r="G12" t="s">
        <v>16</v>
      </c>
      <c r="H12" t="s">
        <v>38</v>
      </c>
      <c r="I12">
        <v>48000</v>
      </c>
      <c r="J12">
        <v>44000</v>
      </c>
      <c r="N12" s="8"/>
      <c r="O12" s="8"/>
      <c r="P12" s="8"/>
      <c r="Q12" s="8"/>
      <c r="R12" s="8"/>
    </row>
    <row r="13" spans="3:18" x14ac:dyDescent="0.3">
      <c r="C13" t="s">
        <v>39</v>
      </c>
      <c r="D13" t="s">
        <v>40</v>
      </c>
      <c r="E13" t="s">
        <v>6</v>
      </c>
      <c r="F13" t="s">
        <v>10</v>
      </c>
      <c r="G13" t="s">
        <v>11</v>
      </c>
      <c r="H13" t="s">
        <v>38</v>
      </c>
      <c r="I13">
        <v>75000</v>
      </c>
      <c r="J13">
        <v>46000</v>
      </c>
    </row>
    <row r="14" spans="3:18" x14ac:dyDescent="0.3">
      <c r="C14" t="s">
        <v>41</v>
      </c>
      <c r="D14" t="s">
        <v>42</v>
      </c>
      <c r="E14" t="s">
        <v>24</v>
      </c>
      <c r="F14" t="s">
        <v>15</v>
      </c>
      <c r="G14" t="s">
        <v>21</v>
      </c>
      <c r="H14" t="s">
        <v>38</v>
      </c>
      <c r="I14">
        <v>0</v>
      </c>
      <c r="J14">
        <v>60000</v>
      </c>
      <c r="N14" t="s">
        <v>90</v>
      </c>
      <c r="O14">
        <f>COUNTA(Table2[Employee_ID])</f>
        <v>20</v>
      </c>
      <c r="P14" t="s">
        <v>94</v>
      </c>
    </row>
    <row r="15" spans="3:18" x14ac:dyDescent="0.3">
      <c r="C15" t="s">
        <v>43</v>
      </c>
      <c r="D15" t="s">
        <v>44</v>
      </c>
      <c r="E15" t="s">
        <v>19</v>
      </c>
      <c r="F15" t="s">
        <v>20</v>
      </c>
      <c r="G15" t="s">
        <v>21</v>
      </c>
      <c r="H15" t="s">
        <v>38</v>
      </c>
      <c r="I15">
        <v>0</v>
      </c>
      <c r="J15">
        <v>37000</v>
      </c>
    </row>
    <row r="16" spans="3:18" x14ac:dyDescent="0.3">
      <c r="C16" t="s">
        <v>45</v>
      </c>
      <c r="D16" t="s">
        <v>46</v>
      </c>
      <c r="E16" t="s">
        <v>6</v>
      </c>
      <c r="F16" t="s">
        <v>25</v>
      </c>
      <c r="G16" t="s">
        <v>28</v>
      </c>
      <c r="H16" t="s">
        <v>47</v>
      </c>
      <c r="I16">
        <v>39000</v>
      </c>
      <c r="J16">
        <v>45000</v>
      </c>
      <c r="N16" t="s">
        <v>91</v>
      </c>
      <c r="O16">
        <f>COUNTIF(Table2[Department],"Sales")</f>
        <v>10</v>
      </c>
    </row>
    <row r="17" spans="3:15" x14ac:dyDescent="0.3">
      <c r="C17" t="s">
        <v>48</v>
      </c>
      <c r="D17" t="s">
        <v>49</v>
      </c>
      <c r="E17" t="s">
        <v>6</v>
      </c>
      <c r="F17" t="s">
        <v>15</v>
      </c>
      <c r="G17" t="s">
        <v>16</v>
      </c>
      <c r="H17" t="s">
        <v>47</v>
      </c>
      <c r="I17">
        <v>42000</v>
      </c>
      <c r="J17">
        <v>47000</v>
      </c>
    </row>
    <row r="18" spans="3:15" x14ac:dyDescent="0.3">
      <c r="C18" t="s">
        <v>50</v>
      </c>
      <c r="D18" t="s">
        <v>51</v>
      </c>
      <c r="E18" t="s">
        <v>24</v>
      </c>
      <c r="F18" t="s">
        <v>10</v>
      </c>
      <c r="G18" t="s">
        <v>21</v>
      </c>
      <c r="H18" t="s">
        <v>47</v>
      </c>
      <c r="I18">
        <v>0</v>
      </c>
      <c r="J18">
        <v>62000</v>
      </c>
      <c r="N18" t="s">
        <v>92</v>
      </c>
      <c r="O18">
        <f>COUNTIF(Table2[Region],"South")</f>
        <v>7</v>
      </c>
    </row>
    <row r="19" spans="3:15" x14ac:dyDescent="0.3">
      <c r="C19" t="s">
        <v>52</v>
      </c>
      <c r="D19" t="s">
        <v>53</v>
      </c>
      <c r="E19" t="s">
        <v>19</v>
      </c>
      <c r="F19" t="s">
        <v>25</v>
      </c>
      <c r="G19" t="s">
        <v>21</v>
      </c>
      <c r="H19" t="s">
        <v>47</v>
      </c>
      <c r="I19">
        <v>0</v>
      </c>
      <c r="J19">
        <v>38000</v>
      </c>
    </row>
    <row r="20" spans="3:15" x14ac:dyDescent="0.3">
      <c r="C20" t="s">
        <v>54</v>
      </c>
      <c r="D20" t="s">
        <v>55</v>
      </c>
      <c r="E20" t="s">
        <v>6</v>
      </c>
      <c r="F20" t="s">
        <v>10</v>
      </c>
      <c r="G20" t="s">
        <v>11</v>
      </c>
      <c r="H20" t="s">
        <v>56</v>
      </c>
      <c r="I20">
        <v>88000</v>
      </c>
      <c r="J20">
        <v>48000</v>
      </c>
      <c r="N20" t="s">
        <v>93</v>
      </c>
      <c r="O20">
        <f>COUNTIFS(Table2[Department],"Sales",Table2[Region],"South")</f>
        <v>4</v>
      </c>
    </row>
    <row r="21" spans="3:15" x14ac:dyDescent="0.3">
      <c r="C21" t="s">
        <v>57</v>
      </c>
      <c r="D21" t="s">
        <v>58</v>
      </c>
      <c r="E21" t="s">
        <v>6</v>
      </c>
      <c r="F21" t="s">
        <v>20</v>
      </c>
      <c r="G21" t="s">
        <v>28</v>
      </c>
      <c r="H21" t="s">
        <v>56</v>
      </c>
      <c r="I21">
        <v>53000</v>
      </c>
      <c r="J21">
        <v>46000</v>
      </c>
    </row>
    <row r="22" spans="3:15" x14ac:dyDescent="0.3">
      <c r="C22" t="s">
        <v>59</v>
      </c>
      <c r="D22" t="s">
        <v>60</v>
      </c>
      <c r="E22" t="s">
        <v>24</v>
      </c>
      <c r="F22" t="s">
        <v>15</v>
      </c>
      <c r="G22" t="s">
        <v>21</v>
      </c>
      <c r="H22" t="s">
        <v>56</v>
      </c>
      <c r="I22">
        <v>0</v>
      </c>
      <c r="J22">
        <v>65000</v>
      </c>
    </row>
    <row r="23" spans="3:15" x14ac:dyDescent="0.3">
      <c r="C23" t="s">
        <v>61</v>
      </c>
      <c r="D23" t="s">
        <v>62</v>
      </c>
      <c r="E23" t="s">
        <v>19</v>
      </c>
      <c r="F23" t="s">
        <v>10</v>
      </c>
      <c r="G23" t="s">
        <v>21</v>
      </c>
      <c r="H23" t="s">
        <v>56</v>
      </c>
      <c r="I23">
        <v>0</v>
      </c>
      <c r="J23">
        <v>39000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98C0A-EECF-4D20-BBFC-A6F195DE5A6B}">
  <sheetPr>
    <tabColor rgb="FF00B0F0"/>
  </sheetPr>
  <dimension ref="D3:R23"/>
  <sheetViews>
    <sheetView workbookViewId="0">
      <selection activeCell="D3" sqref="D3:K23"/>
    </sheetView>
  </sheetViews>
  <sheetFormatPr defaultRowHeight="14.4" x14ac:dyDescent="0.3"/>
  <cols>
    <col min="4" max="4" width="14" customWidth="1"/>
    <col min="5" max="5" width="17.21875" customWidth="1"/>
    <col min="6" max="6" width="13" customWidth="1"/>
    <col min="8" max="8" width="9.5546875" customWidth="1"/>
  </cols>
  <sheetData>
    <row r="3" spans="4:18" x14ac:dyDescent="0.3">
      <c r="D3" t="s">
        <v>0</v>
      </c>
      <c r="E3" t="s">
        <v>1</v>
      </c>
      <c r="F3" t="s">
        <v>2</v>
      </c>
      <c r="G3" t="s">
        <v>3</v>
      </c>
      <c r="H3" t="s">
        <v>4</v>
      </c>
      <c r="I3" t="s">
        <v>5</v>
      </c>
      <c r="J3" t="s">
        <v>6</v>
      </c>
      <c r="K3" t="s">
        <v>7</v>
      </c>
      <c r="O3" s="11"/>
      <c r="P3" s="11"/>
      <c r="Q3" s="11"/>
      <c r="R3" s="11"/>
    </row>
    <row r="4" spans="4:18" ht="15.6" x14ac:dyDescent="0.3">
      <c r="D4" t="s">
        <v>8</v>
      </c>
      <c r="E4" t="s">
        <v>9</v>
      </c>
      <c r="F4" t="s">
        <v>6</v>
      </c>
      <c r="G4" t="s">
        <v>10</v>
      </c>
      <c r="H4" t="s">
        <v>11</v>
      </c>
      <c r="I4" t="s">
        <v>12</v>
      </c>
      <c r="J4">
        <v>45000</v>
      </c>
      <c r="K4">
        <v>42000</v>
      </c>
      <c r="O4" s="12" t="s">
        <v>95</v>
      </c>
      <c r="P4" s="11"/>
      <c r="Q4" s="11"/>
      <c r="R4" s="11"/>
    </row>
    <row r="5" spans="4:18" x14ac:dyDescent="0.3">
      <c r="D5" t="s">
        <v>13</v>
      </c>
      <c r="E5" t="s">
        <v>14</v>
      </c>
      <c r="F5" t="s">
        <v>6</v>
      </c>
      <c r="G5" t="s">
        <v>15</v>
      </c>
      <c r="H5" t="s">
        <v>16</v>
      </c>
      <c r="I5" t="s">
        <v>12</v>
      </c>
      <c r="J5">
        <v>38000</v>
      </c>
      <c r="K5">
        <v>40000</v>
      </c>
      <c r="O5" s="13" t="s">
        <v>96</v>
      </c>
      <c r="P5" s="11"/>
      <c r="Q5" s="11"/>
      <c r="R5" s="11"/>
    </row>
    <row r="6" spans="4:18" x14ac:dyDescent="0.3"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12</v>
      </c>
      <c r="J6">
        <v>0</v>
      </c>
      <c r="K6">
        <v>35000</v>
      </c>
      <c r="O6" s="13" t="s">
        <v>97</v>
      </c>
      <c r="P6" s="11"/>
      <c r="Q6" s="11"/>
      <c r="R6" s="11"/>
    </row>
    <row r="7" spans="4:18" x14ac:dyDescent="0.3">
      <c r="D7" t="s">
        <v>22</v>
      </c>
      <c r="E7" t="s">
        <v>23</v>
      </c>
      <c r="F7" t="s">
        <v>24</v>
      </c>
      <c r="G7" t="s">
        <v>25</v>
      </c>
      <c r="H7" t="s">
        <v>21</v>
      </c>
      <c r="I7" t="s">
        <v>12</v>
      </c>
      <c r="J7">
        <v>0</v>
      </c>
      <c r="K7">
        <v>55000</v>
      </c>
      <c r="O7" s="13" t="s">
        <v>98</v>
      </c>
      <c r="P7" s="11"/>
      <c r="Q7" s="11"/>
      <c r="R7" s="11"/>
    </row>
    <row r="8" spans="4:18" x14ac:dyDescent="0.3">
      <c r="D8" t="s">
        <v>26</v>
      </c>
      <c r="E8" t="s">
        <v>27</v>
      </c>
      <c r="F8" t="s">
        <v>6</v>
      </c>
      <c r="G8" t="s">
        <v>10</v>
      </c>
      <c r="H8" t="s">
        <v>28</v>
      </c>
      <c r="I8" t="s">
        <v>29</v>
      </c>
      <c r="J8">
        <v>52000</v>
      </c>
      <c r="K8">
        <v>43000</v>
      </c>
      <c r="O8" s="13" t="s">
        <v>99</v>
      </c>
      <c r="P8" s="11"/>
      <c r="Q8" s="11"/>
      <c r="R8" s="11"/>
    </row>
    <row r="9" spans="4:18" x14ac:dyDescent="0.3">
      <c r="D9" t="s">
        <v>30</v>
      </c>
      <c r="E9" t="s">
        <v>31</v>
      </c>
      <c r="F9" t="s">
        <v>6</v>
      </c>
      <c r="G9" t="s">
        <v>15</v>
      </c>
      <c r="H9" t="s">
        <v>11</v>
      </c>
      <c r="I9" t="s">
        <v>29</v>
      </c>
      <c r="J9">
        <v>60000</v>
      </c>
      <c r="K9">
        <v>41000</v>
      </c>
      <c r="O9" s="11"/>
      <c r="P9" s="11"/>
      <c r="Q9" s="11"/>
      <c r="R9" s="11"/>
    </row>
    <row r="10" spans="4:18" x14ac:dyDescent="0.3">
      <c r="D10" t="s">
        <v>32</v>
      </c>
      <c r="E10" t="s">
        <v>33</v>
      </c>
      <c r="F10" t="s">
        <v>24</v>
      </c>
      <c r="G10" t="s">
        <v>10</v>
      </c>
      <c r="H10" t="s">
        <v>21</v>
      </c>
      <c r="I10" t="s">
        <v>29</v>
      </c>
      <c r="J10">
        <v>0</v>
      </c>
      <c r="K10">
        <v>58000</v>
      </c>
      <c r="O10" s="11"/>
      <c r="P10" s="11"/>
      <c r="Q10" s="11"/>
      <c r="R10" s="11"/>
    </row>
    <row r="11" spans="4:18" x14ac:dyDescent="0.3">
      <c r="D11" t="s">
        <v>34</v>
      </c>
      <c r="E11" t="s">
        <v>35</v>
      </c>
      <c r="F11" t="s">
        <v>19</v>
      </c>
      <c r="G11" t="s">
        <v>25</v>
      </c>
      <c r="H11" t="s">
        <v>21</v>
      </c>
      <c r="I11" t="s">
        <v>29</v>
      </c>
      <c r="J11">
        <v>0</v>
      </c>
      <c r="K11">
        <v>36000</v>
      </c>
      <c r="O11" s="11"/>
      <c r="P11" s="11"/>
      <c r="Q11" s="11"/>
      <c r="R11" s="11"/>
    </row>
    <row r="12" spans="4:18" x14ac:dyDescent="0.3">
      <c r="D12" t="s">
        <v>36</v>
      </c>
      <c r="E12" t="s">
        <v>37</v>
      </c>
      <c r="F12" t="s">
        <v>6</v>
      </c>
      <c r="G12" t="s">
        <v>20</v>
      </c>
      <c r="H12" t="s">
        <v>16</v>
      </c>
      <c r="I12" t="s">
        <v>38</v>
      </c>
      <c r="J12">
        <v>48000</v>
      </c>
      <c r="K12">
        <v>44000</v>
      </c>
      <c r="O12" s="11"/>
      <c r="P12" s="11"/>
      <c r="Q12" s="11"/>
      <c r="R12" s="11"/>
    </row>
    <row r="13" spans="4:18" x14ac:dyDescent="0.3">
      <c r="D13" t="s">
        <v>39</v>
      </c>
      <c r="E13" t="s">
        <v>40</v>
      </c>
      <c r="F13" t="s">
        <v>6</v>
      </c>
      <c r="G13" t="s">
        <v>10</v>
      </c>
      <c r="H13" t="s">
        <v>11</v>
      </c>
      <c r="I13" t="s">
        <v>38</v>
      </c>
      <c r="J13">
        <v>75000</v>
      </c>
      <c r="K13">
        <v>46000</v>
      </c>
      <c r="O13" s="11"/>
      <c r="P13" s="11"/>
      <c r="Q13" s="11"/>
      <c r="R13" s="11"/>
    </row>
    <row r="14" spans="4:18" x14ac:dyDescent="0.3">
      <c r="D14" t="s">
        <v>41</v>
      </c>
      <c r="E14" t="s">
        <v>42</v>
      </c>
      <c r="F14" t="s">
        <v>24</v>
      </c>
      <c r="G14" t="s">
        <v>15</v>
      </c>
      <c r="H14" t="s">
        <v>21</v>
      </c>
      <c r="I14" t="s">
        <v>38</v>
      </c>
      <c r="J14">
        <v>0</v>
      </c>
      <c r="K14">
        <v>60000</v>
      </c>
    </row>
    <row r="15" spans="4:18" x14ac:dyDescent="0.3">
      <c r="D15" t="s">
        <v>43</v>
      </c>
      <c r="E15" t="s">
        <v>44</v>
      </c>
      <c r="F15" t="s">
        <v>19</v>
      </c>
      <c r="G15" t="s">
        <v>20</v>
      </c>
      <c r="H15" t="s">
        <v>21</v>
      </c>
      <c r="I15" t="s">
        <v>38</v>
      </c>
      <c r="J15">
        <v>0</v>
      </c>
      <c r="K15">
        <v>37000</v>
      </c>
      <c r="O15" t="s">
        <v>100</v>
      </c>
      <c r="P15">
        <f>LARGE(Table4[Sales],1)</f>
        <v>88000</v>
      </c>
    </row>
    <row r="16" spans="4:18" x14ac:dyDescent="0.3">
      <c r="D16" t="s">
        <v>45</v>
      </c>
      <c r="E16" t="s">
        <v>46</v>
      </c>
      <c r="F16" t="s">
        <v>6</v>
      </c>
      <c r="G16" t="s">
        <v>25</v>
      </c>
      <c r="H16" t="s">
        <v>28</v>
      </c>
      <c r="I16" t="s">
        <v>47</v>
      </c>
      <c r="J16">
        <v>39000</v>
      </c>
      <c r="K16">
        <v>45000</v>
      </c>
    </row>
    <row r="17" spans="4:16" x14ac:dyDescent="0.3">
      <c r="D17" t="s">
        <v>48</v>
      </c>
      <c r="E17" t="s">
        <v>49</v>
      </c>
      <c r="F17" t="s">
        <v>6</v>
      </c>
      <c r="G17" t="s">
        <v>15</v>
      </c>
      <c r="H17" t="s">
        <v>16</v>
      </c>
      <c r="I17" t="s">
        <v>47</v>
      </c>
      <c r="J17">
        <v>42000</v>
      </c>
      <c r="K17">
        <v>47000</v>
      </c>
      <c r="O17" t="s">
        <v>101</v>
      </c>
      <c r="P17">
        <f>LARGE(Table4[Sales],2)</f>
        <v>75000</v>
      </c>
    </row>
    <row r="18" spans="4:16" x14ac:dyDescent="0.3">
      <c r="D18" t="s">
        <v>50</v>
      </c>
      <c r="E18" t="s">
        <v>51</v>
      </c>
      <c r="F18" t="s">
        <v>24</v>
      </c>
      <c r="G18" t="s">
        <v>10</v>
      </c>
      <c r="H18" t="s">
        <v>21</v>
      </c>
      <c r="I18" t="s">
        <v>47</v>
      </c>
      <c r="J18">
        <v>0</v>
      </c>
      <c r="K18">
        <v>62000</v>
      </c>
    </row>
    <row r="19" spans="4:16" x14ac:dyDescent="0.3">
      <c r="D19" t="s">
        <v>52</v>
      </c>
      <c r="E19" t="s">
        <v>53</v>
      </c>
      <c r="F19" t="s">
        <v>19</v>
      </c>
      <c r="G19" t="s">
        <v>25</v>
      </c>
      <c r="H19" t="s">
        <v>21</v>
      </c>
      <c r="I19" t="s">
        <v>47</v>
      </c>
      <c r="J19">
        <v>0</v>
      </c>
      <c r="K19">
        <v>38000</v>
      </c>
      <c r="O19" t="s">
        <v>102</v>
      </c>
      <c r="P19">
        <f>SMALL(Table4[Salary],1)</f>
        <v>35000</v>
      </c>
    </row>
    <row r="20" spans="4:16" x14ac:dyDescent="0.3">
      <c r="D20" t="s">
        <v>54</v>
      </c>
      <c r="E20" t="s">
        <v>55</v>
      </c>
      <c r="F20" t="s">
        <v>6</v>
      </c>
      <c r="G20" t="s">
        <v>10</v>
      </c>
      <c r="H20" t="s">
        <v>11</v>
      </c>
      <c r="I20" t="s">
        <v>56</v>
      </c>
      <c r="J20">
        <v>88000</v>
      </c>
      <c r="K20">
        <v>48000</v>
      </c>
    </row>
    <row r="21" spans="4:16" x14ac:dyDescent="0.3">
      <c r="D21" t="s">
        <v>57</v>
      </c>
      <c r="E21" t="s">
        <v>58</v>
      </c>
      <c r="F21" t="s">
        <v>6</v>
      </c>
      <c r="G21" t="s">
        <v>20</v>
      </c>
      <c r="H21" t="s">
        <v>28</v>
      </c>
      <c r="I21" t="s">
        <v>56</v>
      </c>
      <c r="J21">
        <v>53000</v>
      </c>
      <c r="K21">
        <v>46000</v>
      </c>
      <c r="O21" t="s">
        <v>103</v>
      </c>
      <c r="P21">
        <f>SMALL(Table4[Salary],3)</f>
        <v>37000</v>
      </c>
    </row>
    <row r="22" spans="4:16" x14ac:dyDescent="0.3">
      <c r="D22" t="s">
        <v>59</v>
      </c>
      <c r="E22" t="s">
        <v>60</v>
      </c>
      <c r="F22" t="s">
        <v>24</v>
      </c>
      <c r="G22" t="s">
        <v>15</v>
      </c>
      <c r="H22" t="s">
        <v>21</v>
      </c>
      <c r="I22" t="s">
        <v>56</v>
      </c>
      <c r="J22">
        <v>0</v>
      </c>
      <c r="K22">
        <v>65000</v>
      </c>
    </row>
    <row r="23" spans="4:16" x14ac:dyDescent="0.3">
      <c r="D23" t="s">
        <v>61</v>
      </c>
      <c r="E23" t="s">
        <v>62</v>
      </c>
      <c r="F23" t="s">
        <v>19</v>
      </c>
      <c r="G23" t="s">
        <v>10</v>
      </c>
      <c r="H23" t="s">
        <v>21</v>
      </c>
      <c r="I23" t="s">
        <v>56</v>
      </c>
      <c r="J23">
        <v>0</v>
      </c>
      <c r="K23">
        <v>39000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F3A4-8E14-43F5-A83D-8856B2D72E89}">
  <sheetPr>
    <tabColor theme="7" tint="0.39997558519241921"/>
  </sheetPr>
  <dimension ref="D3:Q23"/>
  <sheetViews>
    <sheetView workbookViewId="0">
      <selection activeCell="D3" sqref="D3:K23"/>
    </sheetView>
  </sheetViews>
  <sheetFormatPr defaultRowHeight="14.4" x14ac:dyDescent="0.3"/>
  <cols>
    <col min="4" max="4" width="14" customWidth="1"/>
    <col min="5" max="5" width="17.21875" customWidth="1"/>
    <col min="6" max="6" width="13" customWidth="1"/>
    <col min="8" max="8" width="9.5546875" customWidth="1"/>
  </cols>
  <sheetData>
    <row r="3" spans="4:17" x14ac:dyDescent="0.3">
      <c r="D3" t="s">
        <v>0</v>
      </c>
      <c r="E3" t="s">
        <v>1</v>
      </c>
      <c r="F3" t="s">
        <v>2</v>
      </c>
      <c r="G3" t="s">
        <v>3</v>
      </c>
      <c r="H3" t="s">
        <v>4</v>
      </c>
      <c r="I3" t="s">
        <v>5</v>
      </c>
      <c r="J3" t="s">
        <v>6</v>
      </c>
      <c r="K3" t="s">
        <v>7</v>
      </c>
      <c r="N3" s="14"/>
      <c r="O3" s="14"/>
      <c r="P3" s="14"/>
      <c r="Q3" s="14"/>
    </row>
    <row r="4" spans="4:17" ht="15.6" x14ac:dyDescent="0.3">
      <c r="D4" t="s">
        <v>8</v>
      </c>
      <c r="E4" t="s">
        <v>9</v>
      </c>
      <c r="F4" t="s">
        <v>6</v>
      </c>
      <c r="G4" t="s">
        <v>10</v>
      </c>
      <c r="H4" t="s">
        <v>11</v>
      </c>
      <c r="I4" t="s">
        <v>12</v>
      </c>
      <c r="J4">
        <v>45000</v>
      </c>
      <c r="K4">
        <v>42000</v>
      </c>
      <c r="N4" s="15" t="s">
        <v>104</v>
      </c>
      <c r="O4" s="14"/>
      <c r="P4" s="14"/>
      <c r="Q4" s="14"/>
    </row>
    <row r="5" spans="4:17" x14ac:dyDescent="0.3">
      <c r="D5" t="s">
        <v>13</v>
      </c>
      <c r="E5" t="s">
        <v>14</v>
      </c>
      <c r="F5" t="s">
        <v>6</v>
      </c>
      <c r="G5" t="s">
        <v>15</v>
      </c>
      <c r="H5" t="s">
        <v>16</v>
      </c>
      <c r="I5" t="s">
        <v>12</v>
      </c>
      <c r="J5">
        <v>38000</v>
      </c>
      <c r="K5">
        <v>40000</v>
      </c>
      <c r="N5" s="16" t="s">
        <v>105</v>
      </c>
      <c r="O5" s="14"/>
      <c r="P5" s="14"/>
      <c r="Q5" s="14"/>
    </row>
    <row r="6" spans="4:17" x14ac:dyDescent="0.3"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12</v>
      </c>
      <c r="J6">
        <v>0</v>
      </c>
      <c r="K6">
        <v>35000</v>
      </c>
      <c r="N6" s="16" t="s">
        <v>106</v>
      </c>
      <c r="O6" s="14"/>
      <c r="P6" s="14"/>
      <c r="Q6" s="14"/>
    </row>
    <row r="7" spans="4:17" x14ac:dyDescent="0.3">
      <c r="D7" t="s">
        <v>22</v>
      </c>
      <c r="E7" t="s">
        <v>23</v>
      </c>
      <c r="F7" t="s">
        <v>24</v>
      </c>
      <c r="G7" t="s">
        <v>25</v>
      </c>
      <c r="H7" t="s">
        <v>21</v>
      </c>
      <c r="I7" t="s">
        <v>12</v>
      </c>
      <c r="J7">
        <v>0</v>
      </c>
      <c r="K7">
        <v>55000</v>
      </c>
      <c r="N7" s="16" t="s">
        <v>107</v>
      </c>
      <c r="O7" s="14"/>
      <c r="P7" s="14"/>
      <c r="Q7" s="14"/>
    </row>
    <row r="8" spans="4:17" x14ac:dyDescent="0.3">
      <c r="D8" t="s">
        <v>26</v>
      </c>
      <c r="E8" t="s">
        <v>27</v>
      </c>
      <c r="F8" t="s">
        <v>6</v>
      </c>
      <c r="G8" t="s">
        <v>10</v>
      </c>
      <c r="H8" t="s">
        <v>28</v>
      </c>
      <c r="I8" t="s">
        <v>29</v>
      </c>
      <c r="J8">
        <v>52000</v>
      </c>
      <c r="K8">
        <v>43000</v>
      </c>
      <c r="N8" s="14"/>
      <c r="O8" s="14"/>
      <c r="P8" s="14"/>
      <c r="Q8" s="14"/>
    </row>
    <row r="9" spans="4:17" x14ac:dyDescent="0.3">
      <c r="D9" t="s">
        <v>30</v>
      </c>
      <c r="E9" t="s">
        <v>31</v>
      </c>
      <c r="F9" t="s">
        <v>6</v>
      </c>
      <c r="G9" t="s">
        <v>15</v>
      </c>
      <c r="H9" t="s">
        <v>11</v>
      </c>
      <c r="I9" t="s">
        <v>29</v>
      </c>
      <c r="J9">
        <v>60000</v>
      </c>
      <c r="K9">
        <v>41000</v>
      </c>
      <c r="N9" s="14"/>
      <c r="O9" s="14"/>
      <c r="P9" s="14"/>
      <c r="Q9" s="14"/>
    </row>
    <row r="10" spans="4:17" x14ac:dyDescent="0.3">
      <c r="D10" t="s">
        <v>32</v>
      </c>
      <c r="E10" t="s">
        <v>33</v>
      </c>
      <c r="F10" t="s">
        <v>24</v>
      </c>
      <c r="G10" t="s">
        <v>10</v>
      </c>
      <c r="H10" t="s">
        <v>21</v>
      </c>
      <c r="I10" t="s">
        <v>29</v>
      </c>
      <c r="J10">
        <v>0</v>
      </c>
      <c r="K10">
        <v>58000</v>
      </c>
      <c r="N10" s="14"/>
      <c r="O10" s="14"/>
      <c r="P10" s="14"/>
      <c r="Q10" s="14"/>
    </row>
    <row r="11" spans="4:17" x14ac:dyDescent="0.3">
      <c r="D11" t="s">
        <v>34</v>
      </c>
      <c r="E11" t="s">
        <v>35</v>
      </c>
      <c r="F11" t="s">
        <v>19</v>
      </c>
      <c r="G11" t="s">
        <v>25</v>
      </c>
      <c r="H11" t="s">
        <v>21</v>
      </c>
      <c r="I11" t="s">
        <v>29</v>
      </c>
      <c r="J11">
        <v>0</v>
      </c>
      <c r="K11">
        <v>36000</v>
      </c>
    </row>
    <row r="12" spans="4:17" x14ac:dyDescent="0.3">
      <c r="D12" t="s">
        <v>36</v>
      </c>
      <c r="E12" t="s">
        <v>37</v>
      </c>
      <c r="F12" t="s">
        <v>6</v>
      </c>
      <c r="G12" t="s">
        <v>20</v>
      </c>
      <c r="H12" t="s">
        <v>16</v>
      </c>
      <c r="I12" t="s">
        <v>38</v>
      </c>
      <c r="J12">
        <v>48000</v>
      </c>
      <c r="K12">
        <v>44000</v>
      </c>
      <c r="N12" t="s">
        <v>108</v>
      </c>
      <c r="O12">
        <f>MEDIAN(Table5[Salary])</f>
        <v>44500</v>
      </c>
    </row>
    <row r="13" spans="4:17" x14ac:dyDescent="0.3">
      <c r="D13" t="s">
        <v>39</v>
      </c>
      <c r="E13" t="s">
        <v>40</v>
      </c>
      <c r="F13" t="s">
        <v>6</v>
      </c>
      <c r="G13" t="s">
        <v>10</v>
      </c>
      <c r="H13" t="s">
        <v>11</v>
      </c>
      <c r="I13" t="s">
        <v>38</v>
      </c>
      <c r="J13">
        <v>75000</v>
      </c>
      <c r="K13">
        <v>46000</v>
      </c>
    </row>
    <row r="14" spans="4:17" x14ac:dyDescent="0.3">
      <c r="D14" t="s">
        <v>41</v>
      </c>
      <c r="E14" t="s">
        <v>42</v>
      </c>
      <c r="F14" t="s">
        <v>24</v>
      </c>
      <c r="G14" t="s">
        <v>15</v>
      </c>
      <c r="H14" t="s">
        <v>21</v>
      </c>
      <c r="I14" t="s">
        <v>38</v>
      </c>
      <c r="J14">
        <v>0</v>
      </c>
      <c r="K14">
        <v>60000</v>
      </c>
      <c r="N14" t="s">
        <v>109</v>
      </c>
      <c r="O14">
        <f>MEDIAN(Table5[Sales])</f>
        <v>19000</v>
      </c>
    </row>
    <row r="15" spans="4:17" x14ac:dyDescent="0.3">
      <c r="D15" t="s">
        <v>43</v>
      </c>
      <c r="E15" t="s">
        <v>44</v>
      </c>
      <c r="F15" t="s">
        <v>19</v>
      </c>
      <c r="G15" t="s">
        <v>20</v>
      </c>
      <c r="H15" t="s">
        <v>21</v>
      </c>
      <c r="I15" t="s">
        <v>38</v>
      </c>
      <c r="J15">
        <v>0</v>
      </c>
      <c r="K15">
        <v>37000</v>
      </c>
    </row>
    <row r="16" spans="4:17" x14ac:dyDescent="0.3">
      <c r="D16" t="s">
        <v>45</v>
      </c>
      <c r="E16" t="s">
        <v>46</v>
      </c>
      <c r="F16" t="s">
        <v>6</v>
      </c>
      <c r="G16" t="s">
        <v>25</v>
      </c>
      <c r="H16" t="s">
        <v>28</v>
      </c>
      <c r="I16" t="s">
        <v>47</v>
      </c>
      <c r="J16">
        <v>39000</v>
      </c>
      <c r="K16">
        <v>45000</v>
      </c>
      <c r="N16" t="s">
        <v>110</v>
      </c>
      <c r="O16">
        <f>_xlfn.MODE.SNGL(Table5[Salary])</f>
        <v>46000</v>
      </c>
    </row>
    <row r="17" spans="4:11" x14ac:dyDescent="0.3">
      <c r="D17" t="s">
        <v>48</v>
      </c>
      <c r="E17" t="s">
        <v>49</v>
      </c>
      <c r="F17" t="s">
        <v>6</v>
      </c>
      <c r="G17" t="s">
        <v>15</v>
      </c>
      <c r="H17" t="s">
        <v>16</v>
      </c>
      <c r="I17" t="s">
        <v>47</v>
      </c>
      <c r="J17">
        <v>42000</v>
      </c>
      <c r="K17">
        <v>47000</v>
      </c>
    </row>
    <row r="18" spans="4:11" x14ac:dyDescent="0.3">
      <c r="D18" t="s">
        <v>50</v>
      </c>
      <c r="E18" t="s">
        <v>51</v>
      </c>
      <c r="F18" t="s">
        <v>24</v>
      </c>
      <c r="G18" t="s">
        <v>10</v>
      </c>
      <c r="H18" t="s">
        <v>21</v>
      </c>
      <c r="I18" t="s">
        <v>47</v>
      </c>
      <c r="J18">
        <v>0</v>
      </c>
      <c r="K18">
        <v>62000</v>
      </c>
    </row>
    <row r="19" spans="4:11" x14ac:dyDescent="0.3">
      <c r="D19" t="s">
        <v>52</v>
      </c>
      <c r="E19" t="s">
        <v>53</v>
      </c>
      <c r="F19" t="s">
        <v>19</v>
      </c>
      <c r="G19" t="s">
        <v>25</v>
      </c>
      <c r="H19" t="s">
        <v>21</v>
      </c>
      <c r="I19" t="s">
        <v>47</v>
      </c>
      <c r="J19">
        <v>0</v>
      </c>
      <c r="K19">
        <v>38000</v>
      </c>
    </row>
    <row r="20" spans="4:11" x14ac:dyDescent="0.3">
      <c r="D20" t="s">
        <v>54</v>
      </c>
      <c r="E20" t="s">
        <v>55</v>
      </c>
      <c r="F20" t="s">
        <v>6</v>
      </c>
      <c r="G20" t="s">
        <v>10</v>
      </c>
      <c r="H20" t="s">
        <v>11</v>
      </c>
      <c r="I20" t="s">
        <v>56</v>
      </c>
      <c r="J20">
        <v>88000</v>
      </c>
      <c r="K20">
        <v>48000</v>
      </c>
    </row>
    <row r="21" spans="4:11" x14ac:dyDescent="0.3">
      <c r="D21" t="s">
        <v>57</v>
      </c>
      <c r="E21" t="s">
        <v>58</v>
      </c>
      <c r="F21" t="s">
        <v>6</v>
      </c>
      <c r="G21" t="s">
        <v>20</v>
      </c>
      <c r="H21" t="s">
        <v>28</v>
      </c>
      <c r="I21" t="s">
        <v>56</v>
      </c>
      <c r="J21">
        <v>53000</v>
      </c>
      <c r="K21">
        <v>46000</v>
      </c>
    </row>
    <row r="22" spans="4:11" x14ac:dyDescent="0.3">
      <c r="D22" t="s">
        <v>59</v>
      </c>
      <c r="E22" t="s">
        <v>60</v>
      </c>
      <c r="F22" t="s">
        <v>24</v>
      </c>
      <c r="G22" t="s">
        <v>15</v>
      </c>
      <c r="H22" t="s">
        <v>21</v>
      </c>
      <c r="I22" t="s">
        <v>56</v>
      </c>
      <c r="J22">
        <v>0</v>
      </c>
      <c r="K22">
        <v>65000</v>
      </c>
    </row>
    <row r="23" spans="4:11" x14ac:dyDescent="0.3">
      <c r="D23" t="s">
        <v>61</v>
      </c>
      <c r="E23" t="s">
        <v>62</v>
      </c>
      <c r="F23" t="s">
        <v>19</v>
      </c>
      <c r="G23" t="s">
        <v>10</v>
      </c>
      <c r="H23" t="s">
        <v>21</v>
      </c>
      <c r="I23" t="s">
        <v>56</v>
      </c>
      <c r="J23">
        <v>0</v>
      </c>
      <c r="K23">
        <v>39000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C0397-EE12-4B4D-BA83-168902A88DE2}">
  <sheetPr>
    <tabColor theme="9" tint="-0.499984740745262"/>
  </sheetPr>
  <dimension ref="D3:Y23"/>
  <sheetViews>
    <sheetView tabSelected="1" topLeftCell="F1" workbookViewId="0">
      <selection activeCell="N3" sqref="N3"/>
    </sheetView>
  </sheetViews>
  <sheetFormatPr defaultRowHeight="14.4" x14ac:dyDescent="0.3"/>
  <cols>
    <col min="4" max="4" width="14" customWidth="1"/>
    <col min="5" max="5" width="17.21875" customWidth="1"/>
    <col min="6" max="6" width="13" customWidth="1"/>
    <col min="8" max="8" width="9.5546875" customWidth="1"/>
    <col min="13" max="13" width="10.88671875" bestFit="1" customWidth="1"/>
    <col min="14" max="14" width="14.21875" bestFit="1" customWidth="1"/>
  </cols>
  <sheetData>
    <row r="3" spans="4:25" x14ac:dyDescent="0.3">
      <c r="D3" t="s">
        <v>0</v>
      </c>
      <c r="E3" t="s">
        <v>1</v>
      </c>
      <c r="F3" t="s">
        <v>2</v>
      </c>
      <c r="G3" t="s">
        <v>3</v>
      </c>
      <c r="H3" t="s">
        <v>4</v>
      </c>
      <c r="I3" t="s">
        <v>5</v>
      </c>
      <c r="J3" t="s">
        <v>6</v>
      </c>
      <c r="K3" t="s">
        <v>7</v>
      </c>
      <c r="L3" t="s">
        <v>123</v>
      </c>
      <c r="M3" t="s">
        <v>124</v>
      </c>
      <c r="N3" t="s">
        <v>126</v>
      </c>
      <c r="T3" s="18" t="s">
        <v>111</v>
      </c>
      <c r="U3" s="17"/>
      <c r="V3" s="17"/>
      <c r="W3" s="17"/>
      <c r="X3" s="17"/>
      <c r="Y3" s="17"/>
    </row>
    <row r="4" spans="4:25" x14ac:dyDescent="0.3"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12</v>
      </c>
      <c r="J4">
        <v>0</v>
      </c>
      <c r="K4">
        <v>35000</v>
      </c>
      <c r="L4">
        <f>RANK(Table6[[#This Row],[Salary]],Table6[Salary],0)</f>
        <v>20</v>
      </c>
      <c r="M4" t="str">
        <f>IF(Table6[[#This Row],[Sales]]=0,"",RANK(Table6[[#This Row],[Sales]],Table6[Sales],))</f>
        <v/>
      </c>
      <c r="N4" t="str">
        <f>IF(Table6[[#This Row],[Salary]]&gt;55600,"Above 80 percentile","")</f>
        <v/>
      </c>
      <c r="T4" s="19" t="s">
        <v>112</v>
      </c>
      <c r="U4" s="17"/>
      <c r="V4" s="17"/>
      <c r="W4" s="17"/>
      <c r="X4" s="17"/>
      <c r="Y4" s="17"/>
    </row>
    <row r="5" spans="4:25" x14ac:dyDescent="0.3">
      <c r="D5" t="s">
        <v>34</v>
      </c>
      <c r="E5" t="s">
        <v>35</v>
      </c>
      <c r="F5" t="s">
        <v>19</v>
      </c>
      <c r="G5" t="s">
        <v>25</v>
      </c>
      <c r="H5" t="s">
        <v>21</v>
      </c>
      <c r="I5" t="s">
        <v>29</v>
      </c>
      <c r="J5">
        <v>0</v>
      </c>
      <c r="K5">
        <v>36000</v>
      </c>
      <c r="L5">
        <f>RANK(Table6[[#This Row],[Salary]],Table6[Salary],0)</f>
        <v>19</v>
      </c>
      <c r="M5" t="str">
        <f>IF(Table6[[#This Row],[Sales]]=0,"",RANK(Table6[[#This Row],[Sales]],Table6[Sales],))</f>
        <v/>
      </c>
      <c r="N5" t="str">
        <f>IF(Table6[[#This Row],[Salary]]&gt;55600,"Above 80 percentile","")</f>
        <v/>
      </c>
      <c r="T5" s="19" t="s">
        <v>113</v>
      </c>
      <c r="U5" s="17"/>
      <c r="V5" s="17"/>
      <c r="W5" s="17"/>
      <c r="X5" s="17"/>
      <c r="Y5" s="17"/>
    </row>
    <row r="6" spans="4:25" x14ac:dyDescent="0.3">
      <c r="D6" t="s">
        <v>43</v>
      </c>
      <c r="E6" t="s">
        <v>44</v>
      </c>
      <c r="F6" t="s">
        <v>19</v>
      </c>
      <c r="G6" t="s">
        <v>20</v>
      </c>
      <c r="H6" t="s">
        <v>21</v>
      </c>
      <c r="I6" t="s">
        <v>38</v>
      </c>
      <c r="J6">
        <v>0</v>
      </c>
      <c r="K6">
        <v>37000</v>
      </c>
      <c r="L6">
        <f>RANK(Table6[[#This Row],[Salary]],Table6[Salary],0)</f>
        <v>18</v>
      </c>
      <c r="M6" t="str">
        <f>IF(Table6[[#This Row],[Sales]]=0,"",RANK(Table6[[#This Row],[Sales]],Table6[Sales],))</f>
        <v/>
      </c>
      <c r="N6" t="str">
        <f>IF(Table6[[#This Row],[Salary]]&gt;55600,"Above 80 percentile","")</f>
        <v/>
      </c>
      <c r="T6" s="17"/>
      <c r="U6" s="17"/>
      <c r="V6" s="17"/>
      <c r="W6" s="17"/>
      <c r="X6" s="17"/>
      <c r="Y6" s="17"/>
    </row>
    <row r="7" spans="4:25" x14ac:dyDescent="0.3">
      <c r="D7" t="s">
        <v>52</v>
      </c>
      <c r="E7" t="s">
        <v>53</v>
      </c>
      <c r="F7" t="s">
        <v>19</v>
      </c>
      <c r="G7" t="s">
        <v>25</v>
      </c>
      <c r="H7" t="s">
        <v>21</v>
      </c>
      <c r="I7" t="s">
        <v>47</v>
      </c>
      <c r="J7">
        <v>0</v>
      </c>
      <c r="K7">
        <v>38000</v>
      </c>
      <c r="L7">
        <f>RANK(Table6[[#This Row],[Salary]],Table6[Salary],0)</f>
        <v>17</v>
      </c>
      <c r="M7" t="str">
        <f>IF(Table6[[#This Row],[Sales]]=0,"",RANK(Table6[[#This Row],[Sales]],Table6[Sales],))</f>
        <v/>
      </c>
      <c r="N7" t="str">
        <f>IF(Table6[[#This Row],[Salary]]&gt;55600,"Above 80 percentile","")</f>
        <v/>
      </c>
      <c r="T7" s="17"/>
      <c r="U7" s="17"/>
      <c r="V7" s="17"/>
      <c r="W7" s="17"/>
      <c r="X7" s="17"/>
      <c r="Y7" s="17"/>
    </row>
    <row r="8" spans="4:25" ht="15.6" x14ac:dyDescent="0.3">
      <c r="D8" t="s">
        <v>61</v>
      </c>
      <c r="E8" t="s">
        <v>62</v>
      </c>
      <c r="F8" t="s">
        <v>19</v>
      </c>
      <c r="G8" t="s">
        <v>10</v>
      </c>
      <c r="H8" t="s">
        <v>21</v>
      </c>
      <c r="I8" t="s">
        <v>56</v>
      </c>
      <c r="J8">
        <v>0</v>
      </c>
      <c r="K8">
        <v>39000</v>
      </c>
      <c r="L8">
        <f>RANK(Table6[[#This Row],[Salary]],Table6[Salary],0)</f>
        <v>16</v>
      </c>
      <c r="M8" t="str">
        <f>IF(Table6[[#This Row],[Sales]]=0,"",RANK(Table6[[#This Row],[Sales]],Table6[Sales],))</f>
        <v/>
      </c>
      <c r="N8" t="str">
        <f>IF(Table6[[#This Row],[Salary]]&gt;55600,"Above 80 percentile","")</f>
        <v/>
      </c>
      <c r="T8" s="20" t="s">
        <v>114</v>
      </c>
      <c r="U8" s="17"/>
      <c r="V8" s="17"/>
      <c r="W8" s="17"/>
      <c r="X8" s="17"/>
      <c r="Y8" s="17"/>
    </row>
    <row r="9" spans="4:25" x14ac:dyDescent="0.3">
      <c r="D9" t="s">
        <v>13</v>
      </c>
      <c r="E9" t="s">
        <v>14</v>
      </c>
      <c r="F9" t="s">
        <v>6</v>
      </c>
      <c r="G9" t="s">
        <v>15</v>
      </c>
      <c r="H9" t="s">
        <v>16</v>
      </c>
      <c r="I9" t="s">
        <v>12</v>
      </c>
      <c r="J9">
        <v>38000</v>
      </c>
      <c r="K9">
        <v>40000</v>
      </c>
      <c r="L9">
        <f>RANK(Table6[[#This Row],[Salary]],Table6[Salary],0)</f>
        <v>15</v>
      </c>
      <c r="M9">
        <f>IF(Table6[[#This Row],[Sales]]=0,"",RANK(Table6[[#This Row],[Sales]],Table6[Sales],))</f>
        <v>10</v>
      </c>
      <c r="N9" t="str">
        <f>IF(Table6[[#This Row],[Salary]]&gt;55600,"Above 80 percentile","")</f>
        <v/>
      </c>
      <c r="T9" s="19" t="s">
        <v>115</v>
      </c>
      <c r="U9" s="17"/>
      <c r="V9" s="17"/>
      <c r="W9" s="17"/>
      <c r="X9" s="17"/>
      <c r="Y9" s="17"/>
    </row>
    <row r="10" spans="4:25" x14ac:dyDescent="0.3">
      <c r="D10" t="s">
        <v>30</v>
      </c>
      <c r="E10" t="s">
        <v>31</v>
      </c>
      <c r="F10" t="s">
        <v>6</v>
      </c>
      <c r="G10" t="s">
        <v>15</v>
      </c>
      <c r="H10" t="s">
        <v>11</v>
      </c>
      <c r="I10" t="s">
        <v>29</v>
      </c>
      <c r="J10">
        <v>60000</v>
      </c>
      <c r="K10">
        <v>41000</v>
      </c>
      <c r="L10">
        <f>RANK(Table6[[#This Row],[Salary]],Table6[Salary],0)</f>
        <v>14</v>
      </c>
      <c r="M10">
        <f>IF(Table6[[#This Row],[Sales]]=0,"",RANK(Table6[[#This Row],[Sales]],Table6[Sales],))</f>
        <v>3</v>
      </c>
      <c r="N10" t="str">
        <f>IF(Table6[[#This Row],[Salary]]&gt;55600,"Above 80 percentile","")</f>
        <v/>
      </c>
      <c r="T10" s="19" t="s">
        <v>116</v>
      </c>
      <c r="U10" s="17"/>
      <c r="V10" s="17"/>
      <c r="W10" s="17"/>
      <c r="X10" s="17"/>
      <c r="Y10" s="17"/>
    </row>
    <row r="11" spans="4:25" x14ac:dyDescent="0.3">
      <c r="D11" t="s">
        <v>8</v>
      </c>
      <c r="E11" t="s">
        <v>9</v>
      </c>
      <c r="F11" t="s">
        <v>6</v>
      </c>
      <c r="G11" t="s">
        <v>10</v>
      </c>
      <c r="H11" t="s">
        <v>11</v>
      </c>
      <c r="I11" t="s">
        <v>12</v>
      </c>
      <c r="J11">
        <v>45000</v>
      </c>
      <c r="K11">
        <v>42000</v>
      </c>
      <c r="L11">
        <f>RANK(Table6[[#This Row],[Salary]],Table6[Salary],0)</f>
        <v>13</v>
      </c>
      <c r="M11">
        <f>IF(Table6[[#This Row],[Sales]]=0,"",RANK(Table6[[#This Row],[Sales]],Table6[Sales],))</f>
        <v>7</v>
      </c>
      <c r="N11" t="str">
        <f>IF(Table6[[#This Row],[Salary]]&gt;55600,"Above 80 percentile","")</f>
        <v/>
      </c>
      <c r="T11" s="19" t="s">
        <v>117</v>
      </c>
      <c r="U11" s="17"/>
      <c r="V11" s="17"/>
      <c r="W11" s="17"/>
      <c r="X11" s="17"/>
      <c r="Y11" s="17"/>
    </row>
    <row r="12" spans="4:25" x14ac:dyDescent="0.3">
      <c r="D12" t="s">
        <v>26</v>
      </c>
      <c r="E12" t="s">
        <v>27</v>
      </c>
      <c r="F12" t="s">
        <v>6</v>
      </c>
      <c r="G12" t="s">
        <v>10</v>
      </c>
      <c r="H12" t="s">
        <v>28</v>
      </c>
      <c r="I12" t="s">
        <v>29</v>
      </c>
      <c r="J12">
        <v>52000</v>
      </c>
      <c r="K12">
        <v>43000</v>
      </c>
      <c r="L12">
        <f>RANK(Table6[[#This Row],[Salary]],Table6[Salary],0)</f>
        <v>12</v>
      </c>
      <c r="M12">
        <f>IF(Table6[[#This Row],[Sales]]=0,"",RANK(Table6[[#This Row],[Sales]],Table6[Sales],))</f>
        <v>5</v>
      </c>
      <c r="N12" t="str">
        <f>IF(Table6[[#This Row],[Salary]]&gt;55600,"Above 80 percentile","")</f>
        <v/>
      </c>
      <c r="T12" s="17"/>
      <c r="U12" s="17"/>
      <c r="V12" s="17"/>
      <c r="W12" s="17"/>
      <c r="X12" s="17"/>
      <c r="Y12" s="17"/>
    </row>
    <row r="13" spans="4:25" x14ac:dyDescent="0.3">
      <c r="D13" t="s">
        <v>36</v>
      </c>
      <c r="E13" t="s">
        <v>37</v>
      </c>
      <c r="F13" t="s">
        <v>6</v>
      </c>
      <c r="G13" t="s">
        <v>20</v>
      </c>
      <c r="H13" t="s">
        <v>16</v>
      </c>
      <c r="I13" t="s">
        <v>38</v>
      </c>
      <c r="J13">
        <v>48000</v>
      </c>
      <c r="K13">
        <v>44000</v>
      </c>
      <c r="L13">
        <f>RANK(Table6[[#This Row],[Salary]],Table6[Salary],0)</f>
        <v>11</v>
      </c>
      <c r="M13">
        <f>IF(Table6[[#This Row],[Sales]]=0,"",RANK(Table6[[#This Row],[Sales]],Table6[Sales],))</f>
        <v>6</v>
      </c>
      <c r="N13" t="str">
        <f>IF(Table6[[#This Row],[Salary]]&gt;55600,"Above 80 percentile","")</f>
        <v/>
      </c>
    </row>
    <row r="14" spans="4:25" x14ac:dyDescent="0.3">
      <c r="D14" t="s">
        <v>45</v>
      </c>
      <c r="E14" t="s">
        <v>46</v>
      </c>
      <c r="F14" t="s">
        <v>6</v>
      </c>
      <c r="G14" t="s">
        <v>25</v>
      </c>
      <c r="H14" t="s">
        <v>28</v>
      </c>
      <c r="I14" t="s">
        <v>47</v>
      </c>
      <c r="J14">
        <v>39000</v>
      </c>
      <c r="K14">
        <v>45000</v>
      </c>
      <c r="L14">
        <f>RANK(Table6[[#This Row],[Salary]],Table6[Salary],0)</f>
        <v>10</v>
      </c>
      <c r="M14">
        <f>IF(Table6[[#This Row],[Sales]]=0,"",RANK(Table6[[#This Row],[Sales]],Table6[Sales],))</f>
        <v>9</v>
      </c>
      <c r="N14" t="str">
        <f>IF(Table6[[#This Row],[Salary]]&gt;55600,"Above 80 percentile","")</f>
        <v/>
      </c>
      <c r="T14" s="19" t="s">
        <v>118</v>
      </c>
      <c r="U14" t="s">
        <v>125</v>
      </c>
    </row>
    <row r="15" spans="4:25" x14ac:dyDescent="0.3">
      <c r="D15" t="s">
        <v>39</v>
      </c>
      <c r="E15" t="s">
        <v>40</v>
      </c>
      <c r="F15" t="s">
        <v>6</v>
      </c>
      <c r="G15" t="s">
        <v>10</v>
      </c>
      <c r="H15" t="s">
        <v>11</v>
      </c>
      <c r="I15" t="s">
        <v>38</v>
      </c>
      <c r="J15">
        <v>75000</v>
      </c>
      <c r="K15">
        <v>46000</v>
      </c>
      <c r="L15">
        <f>RANK(Table6[[#This Row],[Salary]],Table6[Salary],0)</f>
        <v>8</v>
      </c>
      <c r="M15">
        <f>IF(Table6[[#This Row],[Sales]]=0,"",RANK(Table6[[#This Row],[Sales]],Table6[Sales],))</f>
        <v>2</v>
      </c>
      <c r="N15" t="str">
        <f>IF(Table6[[#This Row],[Salary]]&gt;55600,"Above 80 percentile","")</f>
        <v/>
      </c>
    </row>
    <row r="16" spans="4:25" x14ac:dyDescent="0.3">
      <c r="D16" t="s">
        <v>57</v>
      </c>
      <c r="E16" t="s">
        <v>58</v>
      </c>
      <c r="F16" t="s">
        <v>6</v>
      </c>
      <c r="G16" t="s">
        <v>20</v>
      </c>
      <c r="H16" t="s">
        <v>28</v>
      </c>
      <c r="I16" t="s">
        <v>56</v>
      </c>
      <c r="J16">
        <v>53000</v>
      </c>
      <c r="K16">
        <v>46000</v>
      </c>
      <c r="L16">
        <f>RANK(Table6[[#This Row],[Salary]],Table6[Salary],0)</f>
        <v>8</v>
      </c>
      <c r="M16">
        <f>IF(Table6[[#This Row],[Sales]]=0,"",RANK(Table6[[#This Row],[Sales]],Table6[Sales],))</f>
        <v>4</v>
      </c>
      <c r="N16" t="str">
        <f>IF(Table6[[#This Row],[Salary]]&gt;55600,"Above 80 percentile","")</f>
        <v/>
      </c>
      <c r="T16" t="s">
        <v>119</v>
      </c>
      <c r="U16" t="s">
        <v>125</v>
      </c>
    </row>
    <row r="17" spans="4:21" x14ac:dyDescent="0.3">
      <c r="D17" t="s">
        <v>48</v>
      </c>
      <c r="E17" t="s">
        <v>49</v>
      </c>
      <c r="F17" t="s">
        <v>6</v>
      </c>
      <c r="G17" t="s">
        <v>15</v>
      </c>
      <c r="H17" t="s">
        <v>16</v>
      </c>
      <c r="I17" t="s">
        <v>47</v>
      </c>
      <c r="J17">
        <v>42000</v>
      </c>
      <c r="K17">
        <v>47000</v>
      </c>
      <c r="L17">
        <f>RANK(Table6[[#This Row],[Salary]],Table6[Salary],0)</f>
        <v>7</v>
      </c>
      <c r="M17">
        <f>IF(Table6[[#This Row],[Sales]]=0,"",RANK(Table6[[#This Row],[Sales]],Table6[Sales],))</f>
        <v>8</v>
      </c>
      <c r="N17" t="str">
        <f>IF(Table6[[#This Row],[Salary]]&gt;55600,"Above 80 percentile","")</f>
        <v/>
      </c>
    </row>
    <row r="18" spans="4:21" x14ac:dyDescent="0.3">
      <c r="D18" t="s">
        <v>54</v>
      </c>
      <c r="E18" t="s">
        <v>55</v>
      </c>
      <c r="F18" t="s">
        <v>6</v>
      </c>
      <c r="G18" t="s">
        <v>10</v>
      </c>
      <c r="H18" t="s">
        <v>11</v>
      </c>
      <c r="I18" t="s">
        <v>56</v>
      </c>
      <c r="J18">
        <v>88000</v>
      </c>
      <c r="K18">
        <v>48000</v>
      </c>
      <c r="L18">
        <f>RANK(Table6[[#This Row],[Salary]],Table6[Salary],0)</f>
        <v>6</v>
      </c>
      <c r="M18">
        <f>IF(Table6[[#This Row],[Sales]]=0,"",RANK(Table6[[#This Row],[Sales]],Table6[Sales],))</f>
        <v>1</v>
      </c>
      <c r="N18" t="str">
        <f>IF(Table6[[#This Row],[Salary]]&gt;55600,"Above 80 percentile","")</f>
        <v/>
      </c>
      <c r="T18" t="s">
        <v>120</v>
      </c>
      <c r="U18">
        <f>PERCENTILE(Table6[Salary],0.9)</f>
        <v>60200</v>
      </c>
    </row>
    <row r="19" spans="4:21" x14ac:dyDescent="0.3">
      <c r="D19" t="s">
        <v>22</v>
      </c>
      <c r="E19" t="s">
        <v>23</v>
      </c>
      <c r="F19" t="s">
        <v>24</v>
      </c>
      <c r="G19" t="s">
        <v>25</v>
      </c>
      <c r="H19" t="s">
        <v>21</v>
      </c>
      <c r="I19" t="s">
        <v>12</v>
      </c>
      <c r="J19">
        <v>0</v>
      </c>
      <c r="K19">
        <v>55000</v>
      </c>
      <c r="L19">
        <f>RANK(Table6[[#This Row],[Salary]],Table6[Salary],0)</f>
        <v>5</v>
      </c>
      <c r="M19" t="str">
        <f>IF(Table6[[#This Row],[Sales]]=0,"",RANK(Table6[[#This Row],[Sales]],Table6[Sales],))</f>
        <v/>
      </c>
      <c r="N19" t="str">
        <f>IF(Table6[[#This Row],[Salary]]&gt;55600,"Above 80 percentile","")</f>
        <v/>
      </c>
    </row>
    <row r="20" spans="4:21" x14ac:dyDescent="0.3">
      <c r="D20" t="s">
        <v>32</v>
      </c>
      <c r="E20" t="s">
        <v>33</v>
      </c>
      <c r="F20" t="s">
        <v>24</v>
      </c>
      <c r="G20" t="s">
        <v>10</v>
      </c>
      <c r="H20" t="s">
        <v>21</v>
      </c>
      <c r="I20" t="s">
        <v>29</v>
      </c>
      <c r="J20">
        <v>0</v>
      </c>
      <c r="K20">
        <v>58000</v>
      </c>
      <c r="L20">
        <f>RANK(Table6[[#This Row],[Salary]],Table6[Salary],0)</f>
        <v>4</v>
      </c>
      <c r="M20" t="str">
        <f>IF(Table6[[#This Row],[Sales]]=0,"",RANK(Table6[[#This Row],[Sales]],Table6[Sales],))</f>
        <v/>
      </c>
      <c r="N20" t="str">
        <f>IF(Table6[[#This Row],[Salary]]&gt;55600,"Above 80 percentile","")</f>
        <v>Above 80 percentile</v>
      </c>
      <c r="T20" t="s">
        <v>121</v>
      </c>
      <c r="U20">
        <f>PERCENTILE(Table6[Sales],0.75)</f>
        <v>49000</v>
      </c>
    </row>
    <row r="21" spans="4:21" x14ac:dyDescent="0.3">
      <c r="D21" t="s">
        <v>41</v>
      </c>
      <c r="E21" t="s">
        <v>42</v>
      </c>
      <c r="F21" t="s">
        <v>24</v>
      </c>
      <c r="G21" t="s">
        <v>15</v>
      </c>
      <c r="H21" t="s">
        <v>21</v>
      </c>
      <c r="I21" t="s">
        <v>38</v>
      </c>
      <c r="J21">
        <v>0</v>
      </c>
      <c r="K21">
        <v>60000</v>
      </c>
      <c r="L21">
        <f>RANK(Table6[[#This Row],[Salary]],Table6[Salary],0)</f>
        <v>3</v>
      </c>
      <c r="M21" t="str">
        <f>IF(Table6[[#This Row],[Sales]]=0,"",RANK(Table6[[#This Row],[Sales]],Table6[Sales],))</f>
        <v/>
      </c>
      <c r="N21" t="str">
        <f>IF(Table6[[#This Row],[Salary]]&gt;55600,"Above 80 percentile","")</f>
        <v>Above 80 percentile</v>
      </c>
    </row>
    <row r="22" spans="4:21" x14ac:dyDescent="0.3">
      <c r="D22" t="s">
        <v>50</v>
      </c>
      <c r="E22" t="s">
        <v>51</v>
      </c>
      <c r="F22" t="s">
        <v>24</v>
      </c>
      <c r="G22" t="s">
        <v>10</v>
      </c>
      <c r="H22" t="s">
        <v>21</v>
      </c>
      <c r="I22" t="s">
        <v>47</v>
      </c>
      <c r="J22">
        <v>0</v>
      </c>
      <c r="K22">
        <v>62000</v>
      </c>
      <c r="L22">
        <f>RANK(Table6[[#This Row],[Salary]],Table6[Salary],0)</f>
        <v>2</v>
      </c>
      <c r="M22" t="str">
        <f>IF(Table6[[#This Row],[Sales]]=0,"",RANK(Table6[[#This Row],[Sales]],Table6[Sales],))</f>
        <v/>
      </c>
      <c r="N22" t="str">
        <f>IF(Table6[[#This Row],[Salary]]&gt;55600,"Above 80 percentile","")</f>
        <v>Above 80 percentile</v>
      </c>
      <c r="T22" t="s">
        <v>122</v>
      </c>
      <c r="U22">
        <f>PERCENTILE(Table6[Salary],0.8)</f>
        <v>55600.000000000007</v>
      </c>
    </row>
    <row r="23" spans="4:21" x14ac:dyDescent="0.3">
      <c r="D23" t="s">
        <v>59</v>
      </c>
      <c r="E23" t="s">
        <v>60</v>
      </c>
      <c r="F23" t="s">
        <v>24</v>
      </c>
      <c r="G23" t="s">
        <v>15</v>
      </c>
      <c r="H23" t="s">
        <v>21</v>
      </c>
      <c r="I23" t="s">
        <v>56</v>
      </c>
      <c r="J23">
        <v>0</v>
      </c>
      <c r="K23">
        <v>65000</v>
      </c>
      <c r="L23">
        <f>RANK(Table6[[#This Row],[Salary]],Table6[Salary],0)</f>
        <v>1</v>
      </c>
      <c r="M23" t="str">
        <f>IF(Table6[[#This Row],[Sales]]=0,"",RANK(Table6[[#This Row],[Sales]],Table6[Sales],))</f>
        <v/>
      </c>
      <c r="N23" t="str">
        <f>IF(Table6[[#This Row],[Salary]]&gt;55600,"Above 80 percentile","")</f>
        <v>Above 80 percentile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</vt:lpstr>
      <vt:lpstr>Average</vt:lpstr>
      <vt:lpstr>Count</vt:lpstr>
      <vt:lpstr>Large &amp; Small</vt:lpstr>
      <vt:lpstr>Median &amp; Mode</vt:lpstr>
      <vt:lpstr>Rank &amp; Percentile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Vishwanath Madawal</cp:lastModifiedBy>
  <dcterms:created xsi:type="dcterms:W3CDTF">2026-02-10T05:29:13Z</dcterms:created>
  <dcterms:modified xsi:type="dcterms:W3CDTF">2026-02-10T15:27:18Z</dcterms:modified>
</cp:coreProperties>
</file>